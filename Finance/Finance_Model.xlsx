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peed\OneDrive\Desktop\Ai20k-class\Slide Phase2\"/>
    </mc:Choice>
  </mc:AlternateContent>
  <xr:revisionPtr revIDLastSave="0" documentId="13_ncr:1_{4F074B0A-8740-4624-A8E0-975E0766B85F}" xr6:coauthVersionLast="47" xr6:coauthVersionMax="47" xr10:uidLastSave="{00000000-0000-0000-0000-000000000000}"/>
  <bookViews>
    <workbookView xWindow="-120" yWindow="-120" windowWidth="29040" windowHeight="15720" tabRatio="500" xr2:uid="{00000000-000D-0000-FFFF-FFFF00000000}"/>
  </bookViews>
  <sheets>
    <sheet name="1. Assumptions" sheetId="1" r:id="rId1"/>
    <sheet name="2. Unit Economics" sheetId="2" r:id="rId2"/>
    <sheet name="3. P&amp;L &amp; ROI"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8" i="3" l="1"/>
  <c r="C16" i="1"/>
  <c r="C9" i="2" s="1"/>
  <c r="E16" i="1"/>
  <c r="E9" i="2" s="1"/>
  <c r="D16" i="1"/>
  <c r="D9" i="2" s="1"/>
  <c r="E40" i="3"/>
  <c r="E39" i="3"/>
  <c r="E37" i="3"/>
  <c r="D6" i="3"/>
  <c r="D8" i="3" s="1"/>
  <c r="E19" i="2"/>
  <c r="D19" i="2"/>
  <c r="C19" i="2"/>
  <c r="E8" i="2"/>
  <c r="D8" i="2"/>
  <c r="C8" i="2"/>
  <c r="E38" i="1"/>
  <c r="D38" i="1"/>
  <c r="C38" i="1"/>
  <c r="E30" i="1"/>
  <c r="D30" i="1"/>
  <c r="C30" i="1"/>
  <c r="E21" i="1"/>
  <c r="E14" i="2" s="1"/>
  <c r="D21" i="1"/>
  <c r="D14" i="2" s="1"/>
  <c r="C21" i="1"/>
  <c r="C14" i="2" s="1"/>
  <c r="C10" i="2" l="1"/>
  <c r="C16" i="2" s="1"/>
  <c r="C22" i="2" s="1"/>
  <c r="D10" i="2"/>
  <c r="E10" i="2"/>
  <c r="D15" i="3"/>
  <c r="D9" i="3"/>
  <c r="D12" i="3"/>
  <c r="D10" i="3"/>
  <c r="D11" i="3"/>
  <c r="D13" i="3"/>
  <c r="D14" i="3"/>
  <c r="D16" i="3"/>
  <c r="D17" i="3"/>
  <c r="E38" i="3"/>
  <c r="D23" i="2" l="1"/>
  <c r="D16" i="2"/>
  <c r="D22" i="2" s="1"/>
  <c r="C23" i="2"/>
  <c r="C26" i="2" s="1"/>
  <c r="C11" i="2"/>
  <c r="D11" i="2"/>
  <c r="W29" i="3"/>
  <c r="K29" i="3"/>
  <c r="T29" i="3"/>
  <c r="H29" i="3"/>
  <c r="X29" i="3"/>
  <c r="L29" i="3"/>
  <c r="V29" i="3"/>
  <c r="J29" i="3"/>
  <c r="U29" i="3"/>
  <c r="I29" i="3"/>
  <c r="S29" i="3"/>
  <c r="G29" i="3"/>
  <c r="Y29" i="3"/>
  <c r="M29" i="3"/>
  <c r="R29" i="3"/>
  <c r="F29" i="3"/>
  <c r="P29" i="3"/>
  <c r="O29" i="3"/>
  <c r="Q29" i="3"/>
  <c r="E29" i="3"/>
  <c r="D29" i="3"/>
  <c r="AA29" i="3"/>
  <c r="Z29" i="3"/>
  <c r="N29" i="3"/>
  <c r="E23" i="2"/>
  <c r="E11" i="2"/>
  <c r="E16" i="2"/>
  <c r="E22" i="2" s="1"/>
  <c r="R22" i="3"/>
  <c r="R28" i="3" s="1"/>
  <c r="Q22" i="3"/>
  <c r="Q28" i="3" s="1"/>
  <c r="E22" i="3"/>
  <c r="E28" i="3" s="1"/>
  <c r="P22" i="3"/>
  <c r="P28" i="3" s="1"/>
  <c r="D22" i="3"/>
  <c r="Y22" i="3"/>
  <c r="Y28" i="3" s="1"/>
  <c r="M22" i="3"/>
  <c r="M28" i="3" s="1"/>
  <c r="AA22" i="3"/>
  <c r="AA28" i="3" s="1"/>
  <c r="O22" i="3"/>
  <c r="O28" i="3" s="1"/>
  <c r="Z22" i="3"/>
  <c r="Z28" i="3" s="1"/>
  <c r="N22" i="3"/>
  <c r="N28" i="3" s="1"/>
  <c r="X22" i="3"/>
  <c r="X28" i="3" s="1"/>
  <c r="L22" i="3"/>
  <c r="L28" i="3" s="1"/>
  <c r="F22" i="3"/>
  <c r="F28" i="3" s="1"/>
  <c r="W22" i="3"/>
  <c r="W28" i="3" s="1"/>
  <c r="K22" i="3"/>
  <c r="K28" i="3" s="1"/>
  <c r="U22" i="3"/>
  <c r="U28" i="3" s="1"/>
  <c r="I22" i="3"/>
  <c r="I28" i="3" s="1"/>
  <c r="T22" i="3"/>
  <c r="T28" i="3" s="1"/>
  <c r="H22" i="3"/>
  <c r="H28" i="3" s="1"/>
  <c r="V22" i="3"/>
  <c r="V28" i="3" s="1"/>
  <c r="J22" i="3"/>
  <c r="J28" i="3" s="1"/>
  <c r="S22" i="3"/>
  <c r="S28" i="3" s="1"/>
  <c r="G22" i="3"/>
  <c r="G28" i="3" s="1"/>
  <c r="D26" i="2" l="1"/>
  <c r="E26" i="2"/>
  <c r="AB22" i="3"/>
  <c r="D23" i="3"/>
  <c r="D28" i="3"/>
  <c r="AB28" i="3" s="1"/>
  <c r="AB29" i="3"/>
  <c r="D25" i="3" l="1"/>
  <c r="D26" i="3"/>
  <c r="E23" i="3"/>
  <c r="E25" i="3" l="1"/>
  <c r="E26" i="3"/>
  <c r="F23" i="3"/>
  <c r="D27" i="3"/>
  <c r="F26" i="3" l="1"/>
  <c r="G23" i="3"/>
  <c r="F25" i="3"/>
  <c r="E27" i="3"/>
  <c r="E30" i="3" s="1"/>
  <c r="E32" i="3" s="1"/>
  <c r="D30" i="3"/>
  <c r="F27" i="3" l="1"/>
  <c r="F30" i="3" s="1"/>
  <c r="F32" i="3" s="1"/>
  <c r="G26" i="3"/>
  <c r="H23" i="3"/>
  <c r="G25" i="3"/>
  <c r="D32" i="3"/>
  <c r="D41" i="3" l="1"/>
  <c r="D33" i="3"/>
  <c r="G27" i="3"/>
  <c r="H25" i="3"/>
  <c r="H26" i="3"/>
  <c r="I23" i="3"/>
  <c r="H27" i="3" l="1"/>
  <c r="H30" i="3" s="1"/>
  <c r="H32" i="3" s="1"/>
  <c r="I26" i="3"/>
  <c r="J23" i="3"/>
  <c r="I25" i="3"/>
  <c r="G30" i="3"/>
  <c r="E33" i="3"/>
  <c r="F33" i="3" s="1"/>
  <c r="E41" i="3"/>
  <c r="F41" i="3" s="1"/>
  <c r="G32" i="3" l="1"/>
  <c r="I27" i="3"/>
  <c r="J26" i="3"/>
  <c r="K23" i="3"/>
  <c r="J25" i="3"/>
  <c r="G41" i="3" l="1"/>
  <c r="H41" i="3" s="1"/>
  <c r="J27" i="3"/>
  <c r="J30" i="3" s="1"/>
  <c r="J32" i="3" s="1"/>
  <c r="G33" i="3"/>
  <c r="H33" i="3" s="1"/>
  <c r="I30" i="3"/>
  <c r="K25" i="3"/>
  <c r="K26" i="3"/>
  <c r="L23" i="3"/>
  <c r="K27" i="3" l="1"/>
  <c r="K30" i="3" s="1"/>
  <c r="K32" i="3" s="1"/>
  <c r="L26" i="3"/>
  <c r="M23" i="3"/>
  <c r="L25" i="3"/>
  <c r="I32" i="3"/>
  <c r="I41" i="3" l="1"/>
  <c r="J41" i="3" s="1"/>
  <c r="K41" i="3" s="1"/>
  <c r="I33" i="3"/>
  <c r="J33" i="3" s="1"/>
  <c r="K33" i="3" s="1"/>
  <c r="L27" i="3"/>
  <c r="L30" i="3" s="1"/>
  <c r="M26" i="3"/>
  <c r="N23" i="3"/>
  <c r="M25" i="3"/>
  <c r="M27" i="3" l="1"/>
  <c r="M30" i="3" s="1"/>
  <c r="M32" i="3" s="1"/>
  <c r="N26" i="3"/>
  <c r="O23" i="3"/>
  <c r="N25" i="3"/>
  <c r="L32" i="3"/>
  <c r="L33" i="3" l="1"/>
  <c r="M33" i="3" s="1"/>
  <c r="N27" i="3"/>
  <c r="N30" i="3" s="1"/>
  <c r="N32" i="3" s="1"/>
  <c r="L41" i="3"/>
  <c r="M41" i="3" s="1"/>
  <c r="O26" i="3"/>
  <c r="P23" i="3"/>
  <c r="O25" i="3"/>
  <c r="O27" i="3" l="1"/>
  <c r="O30" i="3" s="1"/>
  <c r="O32" i="3" s="1"/>
  <c r="N41" i="3"/>
  <c r="N33" i="3"/>
  <c r="P26" i="3"/>
  <c r="Q23" i="3"/>
  <c r="P25" i="3"/>
  <c r="P27" i="3" l="1"/>
  <c r="P30" i="3" s="1"/>
  <c r="P32" i="3" s="1"/>
  <c r="O41" i="3"/>
  <c r="O33" i="3"/>
  <c r="Q25" i="3"/>
  <c r="Q26" i="3"/>
  <c r="R23" i="3"/>
  <c r="P41" i="3" l="1"/>
  <c r="P33" i="3"/>
  <c r="R26" i="3"/>
  <c r="S23" i="3"/>
  <c r="R25" i="3"/>
  <c r="Q27" i="3"/>
  <c r="Q30" i="3" s="1"/>
  <c r="Q32" i="3" s="1"/>
  <c r="Q41" i="3" l="1"/>
  <c r="Q33" i="3"/>
  <c r="R27" i="3"/>
  <c r="R30" i="3" s="1"/>
  <c r="R32" i="3" s="1"/>
  <c r="S26" i="3"/>
  <c r="S25" i="3"/>
  <c r="T23" i="3"/>
  <c r="R41" i="3" l="1"/>
  <c r="S27" i="3"/>
  <c r="S30" i="3" s="1"/>
  <c r="S32" i="3" s="1"/>
  <c r="R33" i="3"/>
  <c r="T25" i="3"/>
  <c r="T26" i="3"/>
  <c r="U23" i="3"/>
  <c r="S41" i="3" l="1"/>
  <c r="S33" i="3"/>
  <c r="U26" i="3"/>
  <c r="V23" i="3"/>
  <c r="U25" i="3"/>
  <c r="T27" i="3"/>
  <c r="T30" i="3" s="1"/>
  <c r="T32" i="3" s="1"/>
  <c r="T33" i="3" l="1"/>
  <c r="U27" i="3"/>
  <c r="U30" i="3" s="1"/>
  <c r="U32" i="3" s="1"/>
  <c r="V26" i="3"/>
  <c r="W23" i="3"/>
  <c r="V25" i="3"/>
  <c r="T41" i="3"/>
  <c r="U33" i="3" l="1"/>
  <c r="U41" i="3"/>
  <c r="V27" i="3"/>
  <c r="V30" i="3" s="1"/>
  <c r="V32" i="3" s="1"/>
  <c r="W26" i="3"/>
  <c r="X23" i="3"/>
  <c r="W25" i="3"/>
  <c r="W27" i="3" l="1"/>
  <c r="W30" i="3" s="1"/>
  <c r="W32" i="3" s="1"/>
  <c r="V33" i="3"/>
  <c r="V41" i="3"/>
  <c r="X25" i="3"/>
  <c r="X26" i="3"/>
  <c r="Y23" i="3"/>
  <c r="W41" i="3" l="1"/>
  <c r="W33" i="3"/>
  <c r="Y26" i="3"/>
  <c r="Z23" i="3"/>
  <c r="Y25" i="3"/>
  <c r="X27" i="3"/>
  <c r="X30" i="3" s="1"/>
  <c r="X32" i="3" s="1"/>
  <c r="X33" i="3" l="1"/>
  <c r="Y27" i="3"/>
  <c r="Y30" i="3" s="1"/>
  <c r="Y32" i="3" s="1"/>
  <c r="Y33" i="3" s="1"/>
  <c r="Z26" i="3"/>
  <c r="AA23" i="3"/>
  <c r="Z25" i="3"/>
  <c r="X41" i="3"/>
  <c r="Y41" i="3" l="1"/>
  <c r="Z27" i="3"/>
  <c r="Z30" i="3" s="1"/>
  <c r="Z32" i="3" s="1"/>
  <c r="Z33" i="3" s="1"/>
  <c r="AA25" i="3"/>
  <c r="AA26" i="3"/>
  <c r="AB26" i="3" s="1"/>
  <c r="Z41" i="3" l="1"/>
  <c r="AA27" i="3"/>
  <c r="AB25" i="3"/>
  <c r="AA30" i="3" l="1"/>
  <c r="AB27" i="3"/>
  <c r="AA32" i="3" l="1"/>
  <c r="AB30" i="3"/>
  <c r="D37" i="3" l="1"/>
  <c r="AB32" i="3"/>
  <c r="AA33" i="3"/>
  <c r="D40" i="3" s="1"/>
  <c r="AA41" i="3"/>
  <c r="D39" i="3" s="1"/>
  <c r="D44" i="3" l="1"/>
</calcChain>
</file>

<file path=xl/sharedStrings.xml><?xml version="1.0" encoding="utf-8"?>
<sst xmlns="http://schemas.openxmlformats.org/spreadsheetml/2006/main" count="165" uniqueCount="148">
  <si>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</si>
  <si>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</si>
  <si>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</si>
  <si>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</si>
  <si>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</si>
  <si>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</si>
  <si>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</si>
  <si>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</si>
  <si>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</si>
  <si>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</si>
  <si>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</si>
  <si>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</si>
  <si>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</si>
  <si>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</si>
  <si>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</si>
  <si>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</si>
  <si>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</si>
  <si>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</si>
  <si>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Tiền gọi OpenAI/Anthropic/Gemini API</t>
  </si>
  <si>
    <t>Đừng quên! Đây là cục giết startup AI</t>
  </si>
  <si>
    <t>Phần allocate cloud cost cho mỗi khách</t>
  </si>
  <si>
    <t>→ Tổng COGS / khách / tháng</t>
  </si>
  <si>
    <t>3. Customer Behavior  /  Hành vi khách hàng</t>
  </si>
  <si>
    <t>Monthly Churn Rate — % khách rời mỗi tháng</t>
  </si>
  <si>
    <t>%</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</si>
  <si>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</si>
  <si>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</si>
  <si>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</si>
  <si>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</si>
  <si>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</si>
  <si>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</si>
  <si>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</si>
  <si>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</si>
  <si>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</si>
  <si>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</si>
  <si>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</si>
  <si>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</si>
  <si>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</si>
  <si>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</si>
  <si>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</si>
  <si>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</si>
  <si>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</si>
  <si>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</si>
  <si>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</si>
  <si>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</si>
  <si>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</si>
  <si>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</si>
  <si>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</si>
  <si>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</si>
  <si>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</si>
  <si>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</si>
  <si>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</si>
  <si>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</si>
  <si>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</si>
  <si>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</si>
  <si>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</si>
  <si>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</si>
  <si>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</si>
  <si>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</si>
  <si>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</si>
  <si>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</si>
  <si>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</si>
  <si>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</si>
  <si>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</si>
  <si>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</si>
  <si>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</si>
  <si>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</si>
  <si>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</si>
  <si>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</si>
  <si>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</si>
  <si>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</si>
  <si>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</si>
  <si>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</si>
  <si>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</si>
  <si>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</si>
  <si>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</si>
  <si>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</si>
  <si>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</si>
  <si>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</si>
  <si>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</si>
  <si>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</si>
  <si>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</si>
  <si>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</si>
  <si>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</si>
  <si>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</si>
  <si>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</si>
  <si>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</si>
  <si>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</si>
  <si>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</si>
  <si>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</si>
  <si>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</si>
  <si>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</si>
  <si>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</si>
  <si>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</si>
  <si>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</si>
  <si>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</si>
  <si>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</si>
  <si>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</si>
  <si>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</si>
  <si>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</si>
  <si>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</si>
  <si>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</si>
  <si>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</si>
  <si>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</si>
  <si>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</si>
  <si>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</si>
  <si>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</si>
  <si>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</si>
  <si>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</si>
  <si>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</si>
  <si>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</si>
  <si>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</si>
  <si>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</si>
  <si>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</si>
  <si>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</si>
  <si>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</si>
  <si>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</si>
  <si>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</si>
  <si>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</si>
  <si>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</si>
  <si>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</si>
  <si>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</si>
  <si>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</si>
  <si>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</si>
  <si>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</si>
  <si>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</si>
  <si>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</si>
  <si>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</si>
  <si>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</si>
  <si>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</si>
  <si>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</si>
  <si>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API cost / tháng</t>
  </si>
  <si>
    <t>Domain và email service / tháng</t>
  </si>
  <si>
    <t>Hidden costs (labeling, retraining, QA) / tháng</t>
  </si>
  <si>
    <t>Infrastructure (server/cloud) / tháng</t>
  </si>
  <si>
    <t>Tần suất mua hàng trung bình / tháng</t>
  </si>
  <si>
    <t xml:space="preserve">COGS cả tháng:
- API cost=0 vì đây chỉ dùng AI model được train, On-device inference (Depth Anything V2). Zero API call — không gọi OpenAI/Gemin
- Infrastructure: App cần một server để:
  Lưu catalog 3D (file .glb) → user tải về điện thoại, lưu metadata sản phẩm (tên, giá, link mua), phục vụ giao diện web/app. MVP      dùng Vercel/Netlify free tier — đủ cho giai đoạn đầu. 300k là dự phòng khi vượt giới hạn free hoặc cần CDN để file 3D load nhanh hơn ở VN.
 3D asset curation / tháng = 300,000 VND. Rất xông xênh, còn đâu model thì cứ lấy của bên hợp tác, kiểu gì cũng miễn phí'
- Domain 150k, email service 150k
- Công thức COGS cho mỗi khách hàng/tháng: COGS cả tháng / (TAM * Adoption Rate).
</t>
  </si>
  <si>
    <t>Tần suất mua trung bình/năm</t>
  </si>
  <si>
    <t>đơn</t>
  </si>
  <si>
    <t>→ LTV = Gross Profit × Số tháng ở lại x Số đơn mỗi tháng</t>
  </si>
  <si>
    <t>1 năm mọi người thường đồ nội thất 1 - 2 lần</t>
  </si>
  <si>
    <t>% user ngưng tương tác với app trong tháng (không mở app, không xem thiết kế, không thêm đồ</t>
  </si>
  <si>
    <t>YourSpace: Ứng dụng cho phép người dùng kéo thả, thêm bớt đồ nội thất từ không gian có sẵn(ảnh chụp), cho phép người dùng thử nghiệm và mua luôn đồ vừa thử nếu muốn</t>
  </si>
  <si>
    <t>YourSpace cũng là nền tảng marketplace/trung gian (kết nối khách thiết kế nội thất với nhà cung cấp/nhà thầu), thu lợi nhuận dựa trên tỉ lệ phần trăm hoa hồng. 'ARPU = GMV bình quân / khách × Tỷ lệ hoa hồng (%)'.</t>
  </si>
  <si>
    <t>Chiến lược acquisition của YourSpace: 
- Organic-first — tận dụng cộng đồng sẵn có (Nghiện Nhà 500K+, TikTok #homedecor). Product visual → dễ viral tự nhiên, tự tạo không gian phòng bằng app rồi đăng bài kiểu đẹp chưa kìa, và viết bài PR, cái này thì tự làm được nên free.
- Paid ads chỉ dùng để boost bài đã có tương tác tốt. Dùng Canva pro để thiết kế post cho đẹp, 200k/tháng.
- Mời influencer nội thất review, 500k/tháng'.
→ Tổng ~ 1.200.000 tháng/SOM=4000 VNĐ</t>
  </si>
  <si>
    <t>1 PM kiêm founder + 1 DEV + 1 DES=30.000.000/tháng
Figma Free/Pro, GitHub, Sentry free, Mixpanel free tầm 900k/tháng</t>
  </si>
  <si>
    <t xml:space="preserve">Thị trường online furniture HCM + HN = ~26,000 tỷ VND/năm
→ /12 = ~2,167 tỷ VND/tháng
Target segment (middle-class, đơn lẻ 1 món) = 30%
→ 2,167 × 30% = ~650 tỷ VND/tháng
GMV/đơn base = 10 triệu  (1 món: sofa trung cấp, giường, bàn ăn)
→ TAM = 650 tỷ / 10 triệu = ~65,000 người/tháng
SOM năm 1 vẫn giữ nguyên: ~300 đơn/tháng do dự án đặt kì vọng  5,000–10,000 đơn/24 tháng
TAM mới: 65,000 người/tháng
Adoption Rate = 300 / 65,000 = 0.46%/tháng ≈ 0.5%/tháng
       </t>
  </si>
  <si>
    <t>M0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</si>
</sst>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quot; tháng&quot;"/>
    <numFmt numFmtId="167" formatCode="0.00\x"/>
    <numFmt numFmtId="168" formatCode="0.000"/>
  </numFmts>
  <fonts count="24"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
      <sz val="11"/>
      <color theme="1"/>
      <name val="Calibri"/>
      <family val="2"/>
      <charset val="1"/>
    </font>
    <font>
      <i/>
      <sz val="10"/>
      <color rgb="FF0000FF"/>
      <name val="Arial"/>
      <family val="2"/>
      <charset val="163"/>
    </font>
    <font>
      <i/>
      <sz val="9"/>
      <color rgb="FF64748B"/>
      <name val="Arial"/>
      <family val="2"/>
      <charset val="163"/>
    </font>
    <font>
      <b/>
      <sz val="10"/>
      <name val="Arial"/>
      <family val="2"/>
      <charset val="163"/>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7">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right/>
      <top style="thin">
        <color rgb="FFCBD5E1"/>
      </top>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top/>
      <bottom style="thin">
        <color rgb="FFCBD5E1"/>
      </bottom>
      <diagonal/>
    </border>
  </borders>
  <cellStyleXfs count="2">
    <xf numFmtId="0" fontId="0" fillId="0" borderId="0"/>
    <xf numFmtId="9" fontId="20" fillId="0" borderId="0" applyFont="0" applyFill="0" applyBorder="0" applyAlignment="0" applyProtection="0"/>
  </cellStyleXfs>
  <cellXfs count="65">
    <xf numFmtId="0" fontId="0" fillId="0" borderId="0" xfId="0"/>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168" fontId="6" fillId="7" borderId="0" xfId="1" applyNumberFormat="1" applyFont="1" applyFill="1" applyBorder="1" applyAlignment="1">
      <alignment horizontal="right" vertical="center"/>
    </xf>
    <xf numFmtId="2" fontId="8" fillId="0" borderId="0" xfId="0" applyNumberFormat="1" applyFont="1" applyAlignment="1">
      <alignment horizontal="right" vertical="center"/>
    </xf>
    <xf numFmtId="0" fontId="22" fillId="0" borderId="0" xfId="0" applyFont="1" applyAlignment="1">
      <alignment horizontal="left" vertical="center" wrapText="1"/>
    </xf>
    <xf numFmtId="2" fontId="6" fillId="7" borderId="0" xfId="0" applyNumberFormat="1" applyFont="1" applyFill="1" applyAlignment="1">
      <alignment horizontal="right" vertical="center"/>
    </xf>
    <xf numFmtId="168" fontId="6" fillId="7" borderId="0" xfId="0" applyNumberFormat="1" applyFont="1" applyFill="1" applyAlignment="1">
      <alignment horizontal="right" vertical="center"/>
    </xf>
    <xf numFmtId="0" fontId="23" fillId="5" borderId="0" xfId="0" applyFont="1" applyFill="1"/>
    <xf numFmtId="0" fontId="7" fillId="7" borderId="3" xfId="0" quotePrefix="1" applyFont="1" applyFill="1" applyBorder="1" applyAlignment="1">
      <alignment horizontal="left" vertical="top" wrapText="1"/>
    </xf>
    <xf numFmtId="0" fontId="7" fillId="7" borderId="0" xfId="0" quotePrefix="1" applyFont="1" applyFill="1" applyAlignment="1">
      <alignment horizontal="left" vertical="top" wrapText="1"/>
    </xf>
    <xf numFmtId="0" fontId="21" fillId="7" borderId="6" xfId="0" applyFont="1" applyFill="1" applyBorder="1" applyAlignment="1">
      <alignment horizontal="left" vertical="top" wrapText="1"/>
    </xf>
    <xf numFmtId="0" fontId="21" fillId="7" borderId="3" xfId="0" quotePrefix="1" applyFont="1" applyFill="1" applyBorder="1" applyAlignment="1">
      <alignment horizontal="left" vertical="top" wrapText="1"/>
    </xf>
    <xf numFmtId="0" fontId="21" fillId="7" borderId="0" xfId="0" quotePrefix="1" applyFont="1" applyFill="1" applyAlignment="1">
      <alignment horizontal="left" vertical="top" wrapTex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3" fillId="3" borderId="0" xfId="0" applyFont="1" applyFill="1" applyAlignment="1">
      <alignment horizontal="left" vertical="center" indent="1"/>
    </xf>
    <xf numFmtId="0" fontId="21" fillId="7" borderId="4" xfId="0" applyFont="1" applyFill="1" applyBorder="1" applyAlignment="1">
      <alignment horizontal="left" vertical="top" wrapText="1"/>
    </xf>
    <xf numFmtId="0" fontId="7" fillId="7" borderId="5" xfId="0" applyFont="1" applyFill="1" applyBorder="1" applyAlignment="1">
      <alignment horizontal="left" vertical="top" wrapText="1"/>
    </xf>
    <xf numFmtId="0" fontId="19" fillId="0" borderId="0" xfId="0" applyFont="1" applyAlignment="1">
      <alignment horizontal="left" vertical="center"/>
    </xf>
  </cellXfs>
  <cellStyles count="2">
    <cellStyle name="Normal" xfId="0" builtinId="0"/>
    <cellStyle name="Percent" xfId="1" builtinId="5"/>
  </cellStyles>
  <dxfs count="47">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2"/>
  <sheetViews>
    <sheetView tabSelected="1" zoomScale="91" zoomScaleNormal="100" workbookViewId="0">
      <pane ySplit="5" topLeftCell="A11" activePane="bottomLeft" state="frozen"/>
      <selection pane="bottomLeft" activeCell="C15" sqref="C15"/>
    </sheetView>
  </sheetViews>
  <sheetFormatPr defaultColWidth="8.7109375" defaultRowHeight="15" x14ac:dyDescent="0.25"/>
  <cols>
    <col min="1" max="1" width="3" customWidth="1"/>
    <col min="2" max="2" width="48.5703125" customWidth="1"/>
    <col min="3" max="5" width="16" customWidth="1"/>
    <col min="6" max="6" width="14" customWidth="1"/>
    <col min="7" max="7" width="50" customWidth="1"/>
  </cols>
  <sheetData>
    <row r="2" spans="2:7" ht="30" customHeight="1" x14ac:dyDescent="0.25">
      <c r="B2" s="59" t="s">
        <v>0</v>
      </c>
      <c r="C2" s="59"/>
      <c r="D2" s="59"/>
      <c r="E2" s="59"/>
      <c r="F2" s="59"/>
    </row>
    <row r="3" spans="2:7" ht="19.5" customHeight="1" x14ac:dyDescent="0.25">
      <c r="B3" s="60" t="s">
        <v>1</v>
      </c>
      <c r="C3" s="60"/>
      <c r="D3" s="60"/>
      <c r="E3" s="60"/>
      <c r="F3" s="60"/>
      <c r="G3" s="60"/>
    </row>
    <row r="5" spans="2:7" x14ac:dyDescent="0.25">
      <c r="B5" s="61" t="s">
        <v>2</v>
      </c>
      <c r="C5" s="61"/>
      <c r="D5" s="61"/>
      <c r="E5" s="61"/>
      <c r="F5" s="61"/>
    </row>
    <row r="6" spans="2:7" x14ac:dyDescent="0.25">
      <c r="C6" s="2" t="s">
        <v>3</v>
      </c>
      <c r="D6" s="3" t="s">
        <v>4</v>
      </c>
      <c r="E6" s="4" t="s">
        <v>5</v>
      </c>
      <c r="F6" s="5" t="s">
        <v>6</v>
      </c>
      <c r="G6" s="6" t="s">
        <v>7</v>
      </c>
    </row>
    <row r="7" spans="2:7" x14ac:dyDescent="0.25">
      <c r="B7" s="7" t="s">
        <v>8</v>
      </c>
      <c r="C7" s="8">
        <v>2000000</v>
      </c>
      <c r="D7" s="8">
        <v>800000</v>
      </c>
      <c r="E7" s="8">
        <v>150000</v>
      </c>
      <c r="F7" s="9" t="s">
        <v>9</v>
      </c>
      <c r="G7" s="1" t="s">
        <v>10</v>
      </c>
    </row>
    <row r="8" spans="2:7" x14ac:dyDescent="0.25">
      <c r="B8" s="7" t="s">
        <v>11</v>
      </c>
      <c r="C8" s="10">
        <v>2.1000000000000001E-2</v>
      </c>
      <c r="D8" s="10">
        <v>4.5999999999999999E-3</v>
      </c>
      <c r="E8" s="10">
        <v>2E-3</v>
      </c>
      <c r="F8" s="9" t="s">
        <v>12</v>
      </c>
      <c r="G8" s="1" t="s">
        <v>13</v>
      </c>
    </row>
    <row r="9" spans="2:7" x14ac:dyDescent="0.25">
      <c r="B9" s="7" t="s">
        <v>14</v>
      </c>
      <c r="C9" s="8">
        <v>32500</v>
      </c>
      <c r="D9" s="8">
        <v>65000</v>
      </c>
      <c r="E9" s="8">
        <v>130000</v>
      </c>
      <c r="F9" s="9" t="s">
        <v>15</v>
      </c>
      <c r="G9" s="1" t="s">
        <v>16</v>
      </c>
    </row>
    <row r="11" spans="2:7" x14ac:dyDescent="0.25">
      <c r="B11" s="61" t="s">
        <v>17</v>
      </c>
      <c r="C11" s="61"/>
      <c r="D11" s="61"/>
      <c r="E11" s="61"/>
      <c r="F11" s="61"/>
    </row>
    <row r="12" spans="2:7" x14ac:dyDescent="0.25">
      <c r="B12" s="7" t="s">
        <v>131</v>
      </c>
      <c r="C12" s="8">
        <v>0</v>
      </c>
      <c r="D12" s="8">
        <v>0</v>
      </c>
      <c r="E12" s="8">
        <v>0</v>
      </c>
      <c r="F12" s="9" t="s">
        <v>9</v>
      </c>
      <c r="G12" s="1" t="s">
        <v>18</v>
      </c>
    </row>
    <row r="13" spans="2:7" x14ac:dyDescent="0.25">
      <c r="B13" s="7" t="s">
        <v>132</v>
      </c>
      <c r="C13" s="8">
        <v>0</v>
      </c>
      <c r="D13" s="8">
        <v>300000</v>
      </c>
      <c r="E13" s="8">
        <v>500000</v>
      </c>
      <c r="F13" s="9" t="s">
        <v>9</v>
      </c>
      <c r="G13" s="1"/>
    </row>
    <row r="14" spans="2:7" x14ac:dyDescent="0.25">
      <c r="B14" s="7" t="s">
        <v>133</v>
      </c>
      <c r="C14" s="8">
        <v>0</v>
      </c>
      <c r="D14" s="8">
        <v>300000</v>
      </c>
      <c r="E14" s="8">
        <v>500000</v>
      </c>
      <c r="F14" s="9" t="s">
        <v>9</v>
      </c>
      <c r="G14" s="1" t="s">
        <v>19</v>
      </c>
    </row>
    <row r="15" spans="2:7" ht="15.75" thickBot="1" x14ac:dyDescent="0.3">
      <c r="B15" s="7" t="s">
        <v>134</v>
      </c>
      <c r="C15" s="8">
        <v>200000</v>
      </c>
      <c r="D15" s="8">
        <v>300000</v>
      </c>
      <c r="E15" s="8">
        <v>500000</v>
      </c>
      <c r="F15" s="9" t="s">
        <v>9</v>
      </c>
      <c r="G15" s="1" t="s">
        <v>20</v>
      </c>
    </row>
    <row r="16" spans="2:7" x14ac:dyDescent="0.25">
      <c r="B16" s="11" t="s">
        <v>21</v>
      </c>
      <c r="C16" s="12">
        <f>(C12+C13+C14+C15)/(C9*C8)</f>
        <v>293.04029304029302</v>
      </c>
      <c r="D16" s="12">
        <f>(D12+D13+D14+D15)/(D9*D8)</f>
        <v>3010.0334448160534</v>
      </c>
      <c r="E16" s="12">
        <f>(E12+E13+E14+E15)/(E9*E8)</f>
        <v>5769.2307692307695</v>
      </c>
      <c r="F16" s="13"/>
    </row>
    <row r="18" spans="2:7" x14ac:dyDescent="0.25">
      <c r="B18" s="61" t="s">
        <v>22</v>
      </c>
      <c r="C18" s="61"/>
      <c r="D18" s="61"/>
      <c r="E18" s="61"/>
      <c r="F18" s="61"/>
    </row>
    <row r="19" spans="2:7" ht="24" x14ac:dyDescent="0.25">
      <c r="B19" s="7" t="s">
        <v>23</v>
      </c>
      <c r="C19" s="10">
        <v>0.05</v>
      </c>
      <c r="D19" s="10">
        <v>0.08</v>
      </c>
      <c r="E19" s="10">
        <v>0.12</v>
      </c>
      <c r="F19" s="9" t="s">
        <v>24</v>
      </c>
      <c r="G19" s="1" t="s">
        <v>141</v>
      </c>
    </row>
    <row r="20" spans="2:7" x14ac:dyDescent="0.25">
      <c r="B20" s="7" t="s">
        <v>135</v>
      </c>
      <c r="C20" s="52">
        <v>0.16700000000000001</v>
      </c>
      <c r="D20" s="48">
        <v>0.125</v>
      </c>
      <c r="E20" s="51">
        <v>0.08</v>
      </c>
      <c r="F20" s="9"/>
      <c r="G20" s="1" t="s">
        <v>140</v>
      </c>
    </row>
    <row r="21" spans="2:7" x14ac:dyDescent="0.25">
      <c r="B21" s="14" t="s">
        <v>25</v>
      </c>
      <c r="C21" s="15">
        <f>IFERROR(1/C19,0)</f>
        <v>20</v>
      </c>
      <c r="D21" s="15">
        <f>IFERROR(1/D19,0)</f>
        <v>12.5</v>
      </c>
      <c r="E21" s="15">
        <f>IFERROR(1/E19,0)</f>
        <v>8.3333333333333339</v>
      </c>
      <c r="F21" s="16"/>
    </row>
    <row r="23" spans="2:7" x14ac:dyDescent="0.25">
      <c r="B23" s="61" t="s">
        <v>26</v>
      </c>
      <c r="C23" s="61"/>
      <c r="D23" s="61"/>
      <c r="E23" s="61"/>
      <c r="F23" s="61"/>
    </row>
    <row r="24" spans="2:7" x14ac:dyDescent="0.25">
      <c r="B24" s="7" t="s">
        <v>27</v>
      </c>
      <c r="C24" s="8">
        <v>1</v>
      </c>
      <c r="D24" s="8">
        <v>4000</v>
      </c>
      <c r="E24" s="8">
        <v>13750</v>
      </c>
      <c r="F24" s="9" t="s">
        <v>9</v>
      </c>
      <c r="G24" s="1" t="s">
        <v>28</v>
      </c>
    </row>
    <row r="26" spans="2:7" x14ac:dyDescent="0.25">
      <c r="B26" s="61" t="s">
        <v>29</v>
      </c>
      <c r="C26" s="61"/>
      <c r="D26" s="61"/>
      <c r="E26" s="61"/>
      <c r="F26" s="61"/>
    </row>
    <row r="27" spans="2:7" x14ac:dyDescent="0.25">
      <c r="B27" s="7" t="s">
        <v>30</v>
      </c>
      <c r="C27" s="8">
        <v>20000000</v>
      </c>
      <c r="D27" s="8">
        <v>30000000</v>
      </c>
      <c r="E27" s="8">
        <v>40000000</v>
      </c>
      <c r="F27" s="9" t="s">
        <v>31</v>
      </c>
      <c r="G27" s="50" t="s">
        <v>32</v>
      </c>
    </row>
    <row r="28" spans="2:7" x14ac:dyDescent="0.25">
      <c r="B28" s="7" t="s">
        <v>33</v>
      </c>
      <c r="C28" s="8">
        <v>500000</v>
      </c>
      <c r="D28" s="8">
        <v>900000</v>
      </c>
      <c r="E28" s="8">
        <v>1500000</v>
      </c>
      <c r="F28" s="9" t="s">
        <v>31</v>
      </c>
    </row>
    <row r="29" spans="2:7" x14ac:dyDescent="0.25">
      <c r="B29" s="7" t="s">
        <v>34</v>
      </c>
      <c r="C29" s="8">
        <v>0</v>
      </c>
      <c r="D29" s="8">
        <v>1200000</v>
      </c>
      <c r="E29" s="8">
        <v>2000000</v>
      </c>
      <c r="F29" s="9" t="s">
        <v>31</v>
      </c>
    </row>
    <row r="30" spans="2:7" x14ac:dyDescent="0.25">
      <c r="B30" s="14" t="s">
        <v>35</v>
      </c>
      <c r="C30" s="17">
        <f>SUM(C27:C29)</f>
        <v>20500000</v>
      </c>
      <c r="D30" s="17">
        <f>SUM(D27:D29)</f>
        <v>32100000</v>
      </c>
      <c r="E30" s="17">
        <f>SUM(E27:E29)</f>
        <v>43500000</v>
      </c>
      <c r="F30" s="16"/>
    </row>
    <row r="32" spans="2:7" x14ac:dyDescent="0.25">
      <c r="B32" s="61" t="s">
        <v>36</v>
      </c>
      <c r="C32" s="61"/>
      <c r="D32" s="61"/>
      <c r="E32" s="61"/>
      <c r="F32" s="61"/>
    </row>
    <row r="33" spans="2:7" x14ac:dyDescent="0.25">
      <c r="B33" s="7" t="s">
        <v>37</v>
      </c>
      <c r="C33" s="8">
        <v>10000000</v>
      </c>
      <c r="D33" s="8">
        <v>20000000</v>
      </c>
      <c r="E33" s="8">
        <v>30000000</v>
      </c>
      <c r="F33" s="9" t="s">
        <v>9</v>
      </c>
      <c r="G33" s="1" t="s">
        <v>38</v>
      </c>
    </row>
    <row r="34" spans="2:7" x14ac:dyDescent="0.25">
      <c r="B34" s="7" t="s">
        <v>39</v>
      </c>
      <c r="C34" s="8">
        <v>100000000</v>
      </c>
      <c r="D34" s="8">
        <v>100000000</v>
      </c>
      <c r="E34" s="8">
        <v>70000000</v>
      </c>
      <c r="F34" s="9" t="s">
        <v>9</v>
      </c>
      <c r="G34" s="1" t="s">
        <v>40</v>
      </c>
    </row>
    <row r="36" spans="2:7" x14ac:dyDescent="0.25">
      <c r="B36" s="61" t="s">
        <v>41</v>
      </c>
      <c r="C36" s="61"/>
      <c r="D36" s="61"/>
      <c r="E36" s="61"/>
      <c r="F36" s="61"/>
    </row>
    <row r="37" spans="2:7" x14ac:dyDescent="0.25">
      <c r="B37" s="7" t="s">
        <v>42</v>
      </c>
      <c r="C37" s="10">
        <v>0.2</v>
      </c>
      <c r="D37" s="10">
        <v>0.2</v>
      </c>
      <c r="E37" s="10">
        <v>0.2</v>
      </c>
      <c r="F37" s="9" t="s">
        <v>43</v>
      </c>
      <c r="G37" s="1" t="s">
        <v>44</v>
      </c>
    </row>
    <row r="38" spans="2:7" x14ac:dyDescent="0.25">
      <c r="B38" s="14" t="s">
        <v>45</v>
      </c>
      <c r="C38" s="18">
        <f>(1+C37)^(1/12)-1</f>
        <v>1.5309470499731193E-2</v>
      </c>
      <c r="D38" s="18">
        <f>(1+D37)^(1/12)-1</f>
        <v>1.5309470499731193E-2</v>
      </c>
      <c r="E38" s="18">
        <f>(1+E37)^(1/12)-1</f>
        <v>1.5309470499731193E-2</v>
      </c>
      <c r="F38" s="16"/>
    </row>
    <row r="40" spans="2:7" x14ac:dyDescent="0.25">
      <c r="B40" s="61" t="s">
        <v>46</v>
      </c>
      <c r="C40" s="61"/>
      <c r="D40" s="61"/>
      <c r="E40" s="61"/>
      <c r="F40" s="61"/>
    </row>
    <row r="41" spans="2:7" ht="24.75" customHeight="1" x14ac:dyDescent="0.25">
      <c r="B41" s="56" t="s">
        <v>142</v>
      </c>
      <c r="C41" s="56"/>
      <c r="D41" s="56"/>
      <c r="E41" s="56"/>
      <c r="F41" s="56"/>
    </row>
    <row r="42" spans="2:7" ht="24.75" customHeight="1" x14ac:dyDescent="0.25">
      <c r="B42" s="62" t="s">
        <v>143</v>
      </c>
      <c r="C42" s="63"/>
      <c r="D42" s="63"/>
      <c r="E42" s="63"/>
      <c r="F42" s="63"/>
    </row>
    <row r="43" spans="2:7" ht="15" customHeight="1" x14ac:dyDescent="0.25">
      <c r="B43" s="57" t="s">
        <v>146</v>
      </c>
      <c r="C43" s="54"/>
      <c r="D43" s="54"/>
      <c r="E43" s="54"/>
      <c r="F43" s="54"/>
    </row>
    <row r="44" spans="2:7" x14ac:dyDescent="0.25">
      <c r="B44" s="55"/>
      <c r="C44" s="55"/>
      <c r="D44" s="55"/>
      <c r="E44" s="55"/>
      <c r="F44" s="55"/>
    </row>
    <row r="45" spans="2:7" x14ac:dyDescent="0.25">
      <c r="B45" s="55"/>
      <c r="C45" s="55"/>
      <c r="D45" s="55"/>
      <c r="E45" s="55"/>
      <c r="F45" s="55"/>
    </row>
    <row r="46" spans="2:7" x14ac:dyDescent="0.25">
      <c r="B46" s="55"/>
      <c r="C46" s="55"/>
      <c r="D46" s="55"/>
      <c r="E46" s="55"/>
      <c r="F46" s="55"/>
    </row>
    <row r="47" spans="2:7" x14ac:dyDescent="0.25">
      <c r="B47" s="55"/>
      <c r="C47" s="55"/>
      <c r="D47" s="55"/>
      <c r="E47" s="55"/>
      <c r="F47" s="55"/>
    </row>
    <row r="48" spans="2:7" x14ac:dyDescent="0.25">
      <c r="B48" s="55"/>
      <c r="C48" s="55"/>
      <c r="D48" s="55"/>
      <c r="E48" s="55"/>
      <c r="F48" s="55"/>
    </row>
    <row r="49" spans="2:6" x14ac:dyDescent="0.25">
      <c r="B49" s="55"/>
      <c r="C49" s="55"/>
      <c r="D49" s="55"/>
      <c r="E49" s="55"/>
      <c r="F49" s="55"/>
    </row>
    <row r="50" spans="2:6" x14ac:dyDescent="0.25">
      <c r="B50" s="55"/>
      <c r="C50" s="55"/>
      <c r="D50" s="55"/>
      <c r="E50" s="55"/>
      <c r="F50" s="55"/>
    </row>
    <row r="51" spans="2:6" x14ac:dyDescent="0.25">
      <c r="B51" s="55"/>
      <c r="C51" s="55"/>
      <c r="D51" s="55"/>
      <c r="E51" s="55"/>
      <c r="F51" s="55"/>
    </row>
    <row r="52" spans="2:6" x14ac:dyDescent="0.25">
      <c r="B52" s="54" t="s">
        <v>136</v>
      </c>
      <c r="C52" s="54"/>
      <c r="D52" s="54"/>
      <c r="E52" s="54"/>
      <c r="F52" s="54"/>
    </row>
    <row r="53" spans="2:6" x14ac:dyDescent="0.25">
      <c r="B53" s="55"/>
      <c r="C53" s="55"/>
      <c r="D53" s="55"/>
      <c r="E53" s="55"/>
      <c r="F53" s="55"/>
    </row>
    <row r="54" spans="2:6" x14ac:dyDescent="0.25">
      <c r="B54" s="55"/>
      <c r="C54" s="55"/>
      <c r="D54" s="55"/>
      <c r="E54" s="55"/>
      <c r="F54" s="55"/>
    </row>
    <row r="55" spans="2:6" x14ac:dyDescent="0.25">
      <c r="B55" s="55"/>
      <c r="C55" s="55"/>
      <c r="D55" s="55"/>
      <c r="E55" s="55"/>
      <c r="F55" s="55"/>
    </row>
    <row r="56" spans="2:6" x14ac:dyDescent="0.25">
      <c r="B56" s="55"/>
      <c r="C56" s="55"/>
      <c r="D56" s="55"/>
      <c r="E56" s="55"/>
      <c r="F56" s="55"/>
    </row>
    <row r="57" spans="2:6" x14ac:dyDescent="0.25">
      <c r="B57" s="55"/>
      <c r="C57" s="55"/>
      <c r="D57" s="55"/>
      <c r="E57" s="55"/>
      <c r="F57" s="55"/>
    </row>
    <row r="58" spans="2:6" x14ac:dyDescent="0.25">
      <c r="B58" s="55"/>
      <c r="C58" s="55"/>
      <c r="D58" s="55"/>
      <c r="E58" s="55"/>
      <c r="F58" s="55"/>
    </row>
    <row r="59" spans="2:6" x14ac:dyDescent="0.25">
      <c r="B59" s="55"/>
      <c r="C59" s="55"/>
      <c r="D59" s="55"/>
      <c r="E59" s="55"/>
      <c r="F59" s="55"/>
    </row>
    <row r="60" spans="2:6" x14ac:dyDescent="0.25">
      <c r="B60" s="55"/>
      <c r="C60" s="55"/>
      <c r="D60" s="55"/>
      <c r="E60" s="55"/>
      <c r="F60" s="55"/>
    </row>
    <row r="61" spans="2:6" ht="15" customHeight="1" x14ac:dyDescent="0.25">
      <c r="B61" s="57" t="s">
        <v>144</v>
      </c>
      <c r="C61" s="57"/>
      <c r="D61" s="57"/>
      <c r="E61" s="57"/>
      <c r="F61" s="57"/>
    </row>
    <row r="62" spans="2:6" x14ac:dyDescent="0.25">
      <c r="B62" s="58"/>
      <c r="C62" s="58"/>
      <c r="D62" s="58"/>
      <c r="E62" s="58"/>
      <c r="F62" s="58"/>
    </row>
    <row r="63" spans="2:6" x14ac:dyDescent="0.25">
      <c r="B63" s="58"/>
      <c r="C63" s="58"/>
      <c r="D63" s="58"/>
      <c r="E63" s="58"/>
      <c r="F63" s="58"/>
    </row>
    <row r="64" spans="2:6" x14ac:dyDescent="0.25">
      <c r="B64" s="58"/>
      <c r="C64" s="58"/>
      <c r="D64" s="58"/>
      <c r="E64" s="58"/>
      <c r="F64" s="58"/>
    </row>
    <row r="65" spans="2:6" x14ac:dyDescent="0.25">
      <c r="B65" s="58"/>
      <c r="C65" s="58"/>
      <c r="D65" s="58"/>
      <c r="E65" s="58"/>
      <c r="F65" s="58"/>
    </row>
    <row r="66" spans="2:6" x14ac:dyDescent="0.25">
      <c r="B66" s="58"/>
      <c r="C66" s="58"/>
      <c r="D66" s="58"/>
      <c r="E66" s="58"/>
      <c r="F66" s="58"/>
    </row>
    <row r="67" spans="2:6" x14ac:dyDescent="0.25">
      <c r="B67" s="57" t="s">
        <v>145</v>
      </c>
      <c r="C67" s="57"/>
      <c r="D67" s="57"/>
      <c r="E67" s="57"/>
      <c r="F67" s="57"/>
    </row>
    <row r="68" spans="2:6" x14ac:dyDescent="0.25">
      <c r="B68" s="58"/>
      <c r="C68" s="58"/>
      <c r="D68" s="58"/>
      <c r="E68" s="58"/>
      <c r="F68" s="58"/>
    </row>
    <row r="69" spans="2:6" x14ac:dyDescent="0.25">
      <c r="B69" s="58"/>
      <c r="C69" s="58"/>
      <c r="D69" s="58"/>
      <c r="E69" s="58"/>
      <c r="F69" s="58"/>
    </row>
    <row r="70" spans="2:6" x14ac:dyDescent="0.25">
      <c r="B70" s="58"/>
      <c r="C70" s="58"/>
      <c r="D70" s="58"/>
      <c r="E70" s="58"/>
      <c r="F70" s="58"/>
    </row>
    <row r="71" spans="2:6" x14ac:dyDescent="0.25">
      <c r="B71" s="58"/>
      <c r="C71" s="58"/>
      <c r="D71" s="58"/>
      <c r="E71" s="58"/>
      <c r="F71" s="58"/>
    </row>
    <row r="72" spans="2:6" x14ac:dyDescent="0.25">
      <c r="B72" s="58"/>
      <c r="C72" s="58"/>
      <c r="D72" s="58"/>
      <c r="E72" s="58"/>
      <c r="F72" s="58"/>
    </row>
  </sheetData>
  <mergeCells count="16">
    <mergeCell ref="B52:F60"/>
    <mergeCell ref="B41:F41"/>
    <mergeCell ref="B61:F66"/>
    <mergeCell ref="B67:F72"/>
    <mergeCell ref="B2:F2"/>
    <mergeCell ref="B3:G3"/>
    <mergeCell ref="B5:F5"/>
    <mergeCell ref="B11:F11"/>
    <mergeCell ref="B18:F18"/>
    <mergeCell ref="B42:F42"/>
    <mergeCell ref="B23:F23"/>
    <mergeCell ref="B26:F26"/>
    <mergeCell ref="B32:F32"/>
    <mergeCell ref="B36:F36"/>
    <mergeCell ref="B40:F40"/>
    <mergeCell ref="B43:F5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6"/>
  <sheetViews>
    <sheetView zoomScaleNormal="100" workbookViewId="0">
      <pane ySplit="5" topLeftCell="A6" activePane="bottomLeft" state="frozen"/>
      <selection pane="bottomLeft" activeCell="C30" sqref="C30"/>
    </sheetView>
  </sheetViews>
  <sheetFormatPr defaultColWidth="8.7109375" defaultRowHeight="15" x14ac:dyDescent="0.25"/>
  <cols>
    <col min="1" max="1" width="3" customWidth="1"/>
    <col min="2" max="2" width="57.140625" customWidth="1"/>
    <col min="3" max="5" width="16" customWidth="1"/>
    <col min="6" max="6" width="14" customWidth="1"/>
    <col min="7" max="7" width="50" customWidth="1"/>
  </cols>
  <sheetData>
    <row r="2" spans="2:7" ht="30" customHeight="1" x14ac:dyDescent="0.25">
      <c r="B2" s="59" t="s">
        <v>47</v>
      </c>
      <c r="C2" s="59"/>
      <c r="D2" s="59"/>
      <c r="E2" s="59"/>
      <c r="F2" s="59"/>
    </row>
    <row r="3" spans="2:7" ht="19.5" customHeight="1" x14ac:dyDescent="0.25">
      <c r="B3" s="60" t="s">
        <v>48</v>
      </c>
      <c r="C3" s="60"/>
      <c r="D3" s="60"/>
      <c r="E3" s="60"/>
      <c r="F3" s="60"/>
      <c r="G3" s="60"/>
    </row>
    <row r="5" spans="2:7" x14ac:dyDescent="0.25">
      <c r="B5" s="6" t="s">
        <v>49</v>
      </c>
      <c r="C5" s="2" t="s">
        <v>3</v>
      </c>
      <c r="D5" s="3" t="s">
        <v>4</v>
      </c>
      <c r="E5" s="4" t="s">
        <v>5</v>
      </c>
      <c r="F5" s="5" t="s">
        <v>6</v>
      </c>
      <c r="G5" s="6" t="s">
        <v>50</v>
      </c>
    </row>
    <row r="7" spans="2:7" x14ac:dyDescent="0.25">
      <c r="B7" s="61" t="s">
        <v>51</v>
      </c>
      <c r="C7" s="61"/>
      <c r="D7" s="61"/>
      <c r="E7" s="61"/>
      <c r="F7" s="61"/>
    </row>
    <row r="8" spans="2:7" x14ac:dyDescent="0.25">
      <c r="B8" s="7" t="s">
        <v>52</v>
      </c>
      <c r="C8" s="19">
        <f>'1. Assumptions'!C7</f>
        <v>2000000</v>
      </c>
      <c r="D8" s="19">
        <f>'1. Assumptions'!D7</f>
        <v>800000</v>
      </c>
      <c r="E8" s="19">
        <f>'1. Assumptions'!E7</f>
        <v>150000</v>
      </c>
      <c r="F8" s="9" t="s">
        <v>9</v>
      </c>
      <c r="G8" s="1" t="s">
        <v>53</v>
      </c>
    </row>
    <row r="9" spans="2:7" x14ac:dyDescent="0.25">
      <c r="B9" s="7" t="s">
        <v>54</v>
      </c>
      <c r="C9" s="19">
        <f>'1. Assumptions'!C16</f>
        <v>293.04029304029302</v>
      </c>
      <c r="D9" s="19">
        <f>'1. Assumptions'!D16</f>
        <v>3010.0334448160534</v>
      </c>
      <c r="E9" s="19">
        <f>'1. Assumptions'!E16</f>
        <v>5769.2307692307695</v>
      </c>
      <c r="F9" s="9" t="s">
        <v>9</v>
      </c>
    </row>
    <row r="10" spans="2:7" x14ac:dyDescent="0.25">
      <c r="B10" s="14" t="s">
        <v>55</v>
      </c>
      <c r="C10" s="17">
        <f>C8-C9</f>
        <v>1999706.9597069598</v>
      </c>
      <c r="D10" s="17">
        <f>D8-D9</f>
        <v>796989.96655518399</v>
      </c>
      <c r="E10" s="17">
        <f>E8-E9</f>
        <v>144230.76923076922</v>
      </c>
      <c r="F10" s="16"/>
    </row>
    <row r="11" spans="2:7" x14ac:dyDescent="0.25">
      <c r="B11" s="14" t="s">
        <v>56</v>
      </c>
      <c r="C11" s="18">
        <f>IFERROR(C10/C8,0)</f>
        <v>0.99985347985347994</v>
      </c>
      <c r="D11" s="18">
        <f>IFERROR(D10/D8,0)</f>
        <v>0.99623745819398002</v>
      </c>
      <c r="E11" s="18">
        <f>IFERROR(E10/E8,0)</f>
        <v>0.96153846153846145</v>
      </c>
      <c r="F11" s="16"/>
      <c r="G11" s="1" t="s">
        <v>57</v>
      </c>
    </row>
    <row r="13" spans="2:7" x14ac:dyDescent="0.25">
      <c r="B13" s="61" t="s">
        <v>58</v>
      </c>
      <c r="C13" s="61"/>
      <c r="D13" s="61"/>
      <c r="E13" s="61"/>
      <c r="F13" s="61"/>
    </row>
    <row r="14" spans="2:7" x14ac:dyDescent="0.25">
      <c r="B14" s="7" t="s">
        <v>59</v>
      </c>
      <c r="C14" s="20">
        <f>'1. Assumptions'!C21</f>
        <v>20</v>
      </c>
      <c r="D14" s="20">
        <f>'1. Assumptions'!D21</f>
        <v>12.5</v>
      </c>
      <c r="E14" s="20">
        <f>'1. Assumptions'!E21</f>
        <v>8.3333333333333339</v>
      </c>
      <c r="F14" s="9" t="s">
        <v>60</v>
      </c>
    </row>
    <row r="15" spans="2:7" x14ac:dyDescent="0.25">
      <c r="B15" s="7" t="s">
        <v>137</v>
      </c>
      <c r="C15" s="20"/>
      <c r="D15" s="49">
        <v>1.5</v>
      </c>
      <c r="E15" s="20"/>
      <c r="F15" s="9" t="s">
        <v>138</v>
      </c>
    </row>
    <row r="16" spans="2:7" x14ac:dyDescent="0.25">
      <c r="B16" s="14" t="s">
        <v>139</v>
      </c>
      <c r="C16" s="17">
        <f>C10*C14</f>
        <v>39994139.194139197</v>
      </c>
      <c r="D16" s="17">
        <f>D10*D14*(D15/12)</f>
        <v>1245296.822742475</v>
      </c>
      <c r="E16" s="17">
        <f>E10*E14</f>
        <v>1201923.076923077</v>
      </c>
      <c r="F16" s="16"/>
      <c r="G16" s="1" t="s">
        <v>61</v>
      </c>
    </row>
    <row r="18" spans="2:7" x14ac:dyDescent="0.25">
      <c r="B18" s="61" t="s">
        <v>62</v>
      </c>
      <c r="C18" s="61"/>
      <c r="D18" s="61"/>
      <c r="E18" s="61"/>
      <c r="F18" s="61"/>
    </row>
    <row r="19" spans="2:7" x14ac:dyDescent="0.25">
      <c r="B19" s="7" t="s">
        <v>63</v>
      </c>
      <c r="C19" s="19">
        <f>'1. Assumptions'!C24</f>
        <v>1</v>
      </c>
      <c r="D19" s="19">
        <f>'1. Assumptions'!D24</f>
        <v>4000</v>
      </c>
      <c r="E19" s="19">
        <f>'1. Assumptions'!E24</f>
        <v>13750</v>
      </c>
      <c r="F19" s="9" t="s">
        <v>9</v>
      </c>
    </row>
    <row r="21" spans="2:7" x14ac:dyDescent="0.25">
      <c r="B21" s="61" t="s">
        <v>64</v>
      </c>
      <c r="C21" s="61"/>
      <c r="D21" s="61"/>
      <c r="E21" s="61"/>
      <c r="F21" s="61"/>
    </row>
    <row r="22" spans="2:7" x14ac:dyDescent="0.25">
      <c r="B22" s="14" t="s">
        <v>65</v>
      </c>
      <c r="C22" s="21">
        <f>IFERROR(C16/C19,0)</f>
        <v>39994139.194139197</v>
      </c>
      <c r="D22" s="21">
        <f>IFERROR(D16/D19,0)</f>
        <v>311.32420568561872</v>
      </c>
      <c r="E22" s="21">
        <f>IFERROR(E16/E19,0)</f>
        <v>87.412587412587413</v>
      </c>
      <c r="F22" s="16"/>
      <c r="G22" s="1" t="s">
        <v>66</v>
      </c>
    </row>
    <row r="23" spans="2:7" x14ac:dyDescent="0.25">
      <c r="B23" s="14" t="s">
        <v>67</v>
      </c>
      <c r="C23" s="15">
        <f>IFERROR(C19/C10,0)</f>
        <v>5.000732708089097E-7</v>
      </c>
      <c r="D23" s="15">
        <f>IFERROR(D19/D10,0)</f>
        <v>5.0188837599664284E-3</v>
      </c>
      <c r="E23" s="15">
        <f>IFERROR(E19/E10,0)</f>
        <v>9.5333333333333339E-2</v>
      </c>
      <c r="F23" s="16"/>
      <c r="G23" s="1" t="s">
        <v>68</v>
      </c>
    </row>
    <row r="25" spans="2:7" x14ac:dyDescent="0.25">
      <c r="B25" s="61" t="s">
        <v>69</v>
      </c>
      <c r="C25" s="61"/>
      <c r="D25" s="61"/>
      <c r="E25" s="61"/>
      <c r="F25" s="61"/>
    </row>
    <row r="26" spans="2:7" x14ac:dyDescent="0.25">
      <c r="B26" s="6" t="s">
        <v>70</v>
      </c>
      <c r="C26" s="22" t="str">
        <f>IF(AND(C22&gt;=3,C23&lt;=12),"✓ HEALTHY",IF(OR(C22&lt;1,C23&gt;18),"✗ UNHEALTHY","⚠ WATCH"))</f>
        <v>✓ HEALTHY</v>
      </c>
      <c r="D26" s="22" t="str">
        <f>IF(AND(D22&gt;=3,D23&lt;=12),"✓ HEALTHY",IF(OR(D22&lt;1,D23&gt;18),"✗ UNHEALTHY","⚠ WATCH"))</f>
        <v>✓ HEALTHY</v>
      </c>
      <c r="E26" s="22" t="str">
        <f>IF(AND(E22&gt;=3,E23&lt;=12),"✓ HEALTHY",IF(OR(E22&lt;1,E23&gt;18),"✗ UNHEALTHY","⚠ WATCH"))</f>
        <v>✓ HEALTHY</v>
      </c>
    </row>
  </sheetData>
  <mergeCells count="7">
    <mergeCell ref="B21:F21"/>
    <mergeCell ref="B25:F25"/>
    <mergeCell ref="B2:F2"/>
    <mergeCell ref="B3:G3"/>
    <mergeCell ref="B7:F7"/>
    <mergeCell ref="B13:F13"/>
    <mergeCell ref="B18:F18"/>
  </mergeCells>
  <conditionalFormatting sqref="C22">
    <cfRule type="cellIs" dxfId="46" priority="2" operator="lessThan">
      <formula>1</formula>
    </cfRule>
    <cfRule type="cellIs" dxfId="45" priority="3" operator="between">
      <formula>1</formula>
      <formula>3</formula>
    </cfRule>
    <cfRule type="cellIs" dxfId="44" priority="4" operator="greaterThanOrEqual">
      <formula>3</formula>
    </cfRule>
  </conditionalFormatting>
  <conditionalFormatting sqref="D22">
    <cfRule type="cellIs" dxfId="43" priority="5" operator="lessThan">
      <formula>1</formula>
    </cfRule>
    <cfRule type="cellIs" dxfId="42" priority="6" operator="between">
      <formula>1</formula>
      <formula>3</formula>
    </cfRule>
    <cfRule type="cellIs" dxfId="41" priority="7" operator="greaterThanOrEqual">
      <formula>3</formula>
    </cfRule>
  </conditionalFormatting>
  <conditionalFormatting sqref="E22">
    <cfRule type="cellIs" dxfId="40" priority="8" operator="lessThan">
      <formula>1</formula>
    </cfRule>
    <cfRule type="cellIs" dxfId="39" priority="9" operator="between">
      <formula>1</formula>
      <formula>3</formula>
    </cfRule>
    <cfRule type="cellIs" dxfId="38" priority="10" operator="greaterThanOrEqual">
      <formula>3</formula>
    </cfRule>
  </conditionalFormatting>
  <conditionalFormatting sqref="C23">
    <cfRule type="cellIs" dxfId="37" priority="11" operator="greaterThan">
      <formula>18</formula>
    </cfRule>
    <cfRule type="cellIs" dxfId="36" priority="12" operator="between">
      <formula>12</formula>
      <formula>18</formula>
    </cfRule>
    <cfRule type="cellIs" dxfId="35" priority="13" operator="lessThanOrEqual">
      <formula>12</formula>
    </cfRule>
  </conditionalFormatting>
  <conditionalFormatting sqref="D23">
    <cfRule type="cellIs" dxfId="34" priority="14" operator="greaterThan">
      <formula>18</formula>
    </cfRule>
    <cfRule type="cellIs" dxfId="33" priority="15" operator="between">
      <formula>12</formula>
      <formula>18</formula>
    </cfRule>
    <cfRule type="cellIs" dxfId="32" priority="16" operator="lessThanOrEqual">
      <formula>12</formula>
    </cfRule>
  </conditionalFormatting>
  <conditionalFormatting sqref="E23">
    <cfRule type="cellIs" dxfId="31" priority="17" operator="greaterThan">
      <formula>18</formula>
    </cfRule>
    <cfRule type="cellIs" dxfId="30" priority="18" operator="between">
      <formula>12</formula>
      <formula>18</formula>
    </cfRule>
    <cfRule type="cellIs" dxfId="29" priority="19"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B44"/>
  <sheetViews>
    <sheetView zoomScaleNormal="100" workbookViewId="0">
      <pane xSplit="2" ySplit="21" topLeftCell="C35" activePane="bottomRight" state="frozen"/>
      <selection pane="topRight" activeCell="C1" sqref="C1"/>
      <selection pane="bottomLeft" activeCell="A22" sqref="A22"/>
      <selection pane="bottomRight" activeCell="C34" sqref="C34"/>
    </sheetView>
  </sheetViews>
  <sheetFormatPr defaultColWidth="8.7109375" defaultRowHeight="15" x14ac:dyDescent="0.25"/>
  <cols>
    <col min="1" max="1" width="3" customWidth="1"/>
    <col min="2" max="3" width="36" customWidth="1"/>
    <col min="4" max="27" width="13" customWidth="1"/>
    <col min="28" max="28" width="16" customWidth="1"/>
  </cols>
  <sheetData>
    <row r="2" spans="2:9" ht="30" customHeight="1" x14ac:dyDescent="0.25">
      <c r="B2" s="59" t="s">
        <v>71</v>
      </c>
      <c r="C2" s="59"/>
      <c r="D2" s="59"/>
      <c r="E2" s="59"/>
      <c r="F2" s="59"/>
      <c r="G2" s="59"/>
      <c r="H2" s="59"/>
      <c r="I2" s="59"/>
    </row>
    <row r="4" spans="2:9" ht="15" customHeight="1" x14ac:dyDescent="0.25">
      <c r="B4" s="23" t="s">
        <v>72</v>
      </c>
      <c r="C4" s="23"/>
      <c r="D4" s="24" t="s">
        <v>4</v>
      </c>
      <c r="E4" s="60" t="s">
        <v>73</v>
      </c>
      <c r="F4" s="60"/>
      <c r="G4" s="60"/>
      <c r="H4" s="60"/>
      <c r="I4" s="60"/>
    </row>
    <row r="6" spans="2:9" x14ac:dyDescent="0.25">
      <c r="B6" s="25" t="s">
        <v>74</v>
      </c>
      <c r="C6" s="25"/>
      <c r="D6" s="25">
        <f>MATCH(D4,{"Optimistic","Base","Pessimistic"},0)</f>
        <v>2</v>
      </c>
    </row>
    <row r="7" spans="2:9" x14ac:dyDescent="0.25">
      <c r="B7" s="26" t="s">
        <v>75</v>
      </c>
      <c r="C7" s="26"/>
    </row>
    <row r="8" spans="2:9" x14ac:dyDescent="0.25">
      <c r="B8" s="27" t="s">
        <v>76</v>
      </c>
      <c r="C8" s="27"/>
      <c r="D8" s="28">
        <f>CHOOSE($D$6,'1. Assumptions'!C7,'1. Assumptions'!D7,'1. Assumptions'!E7)</f>
        <v>800000</v>
      </c>
    </row>
    <row r="9" spans="2:9" x14ac:dyDescent="0.25">
      <c r="B9" s="27" t="s">
        <v>77</v>
      </c>
      <c r="C9" s="27"/>
      <c r="D9" s="29">
        <f>CHOOSE($D$6,'1. Assumptions'!C8,'1. Assumptions'!D8,'1. Assumptions'!E8)</f>
        <v>4.5999999999999999E-3</v>
      </c>
    </row>
    <row r="10" spans="2:9" x14ac:dyDescent="0.25">
      <c r="B10" s="27" t="s">
        <v>78</v>
      </c>
      <c r="C10" s="27"/>
      <c r="D10" s="28">
        <f>CHOOSE($D$6,'1. Assumptions'!C9,'1. Assumptions'!D9,'1. Assumptions'!E9)</f>
        <v>65000</v>
      </c>
    </row>
    <row r="11" spans="2:9" x14ac:dyDescent="0.25">
      <c r="B11" s="27" t="s">
        <v>79</v>
      </c>
      <c r="C11" s="27"/>
      <c r="D11" s="28">
        <f>CHOOSE($D$6,'1. Assumptions'!C16,'1. Assumptions'!D16,'1. Assumptions'!E16)</f>
        <v>3010.0334448160534</v>
      </c>
    </row>
    <row r="12" spans="2:9" x14ac:dyDescent="0.25">
      <c r="B12" s="27" t="s">
        <v>80</v>
      </c>
      <c r="C12" s="27"/>
      <c r="D12" s="29">
        <f>CHOOSE($D$6,'1. Assumptions'!C19,'1. Assumptions'!D19,'1. Assumptions'!E19)</f>
        <v>0.08</v>
      </c>
    </row>
    <row r="13" spans="2:9" x14ac:dyDescent="0.25">
      <c r="B13" s="27" t="s">
        <v>81</v>
      </c>
      <c r="C13" s="27"/>
      <c r="D13" s="28">
        <f>CHOOSE($D$6,'1. Assumptions'!C24,'1. Assumptions'!D24,'1. Assumptions'!E24)</f>
        <v>4000</v>
      </c>
    </row>
    <row r="14" spans="2:9" x14ac:dyDescent="0.25">
      <c r="B14" s="27" t="s">
        <v>82</v>
      </c>
      <c r="C14" s="27"/>
      <c r="D14" s="28">
        <f>CHOOSE($D$6,'1. Assumptions'!C30,'1. Assumptions'!D30,'1. Assumptions'!E30)</f>
        <v>32100000</v>
      </c>
    </row>
    <row r="15" spans="2:9" x14ac:dyDescent="0.25">
      <c r="B15" s="27" t="s">
        <v>83</v>
      </c>
      <c r="C15" s="27"/>
      <c r="D15" s="28">
        <f>CHOOSE($D$6,'1. Assumptions'!C33,'1. Assumptions'!D33,'1. Assumptions'!E33)</f>
        <v>20000000</v>
      </c>
    </row>
    <row r="16" spans="2:9" x14ac:dyDescent="0.25">
      <c r="B16" s="27" t="s">
        <v>84</v>
      </c>
      <c r="C16" s="27"/>
      <c r="D16" s="28">
        <f>CHOOSE($D$6,'1. Assumptions'!C34,'1. Assumptions'!D34,'1. Assumptions'!E34)</f>
        <v>100000000</v>
      </c>
    </row>
    <row r="17" spans="2:28" x14ac:dyDescent="0.25">
      <c r="B17" s="27" t="s">
        <v>85</v>
      </c>
      <c r="C17" s="27"/>
      <c r="D17" s="29">
        <f>CHOOSE($D$6,'1. Assumptions'!C38,'1. Assumptions'!D38,'1. Assumptions'!E38)</f>
        <v>1.5309470499731193E-2</v>
      </c>
    </row>
    <row r="20" spans="2:28" x14ac:dyDescent="0.25">
      <c r="B20" s="61" t="s">
        <v>86</v>
      </c>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row>
    <row r="21" spans="2:28" x14ac:dyDescent="0.25">
      <c r="B21" s="30" t="s">
        <v>87</v>
      </c>
      <c r="C21" s="53" t="s">
        <v>147</v>
      </c>
      <c r="D21" s="31" t="s">
        <v>88</v>
      </c>
      <c r="E21" s="31" t="s">
        <v>89</v>
      </c>
      <c r="F21" s="31" t="s">
        <v>90</v>
      </c>
      <c r="G21" s="31" t="s">
        <v>91</v>
      </c>
      <c r="H21" s="31" t="s">
        <v>92</v>
      </c>
      <c r="I21" s="31" t="s">
        <v>93</v>
      </c>
      <c r="J21" s="31" t="s">
        <v>94</v>
      </c>
      <c r="K21" s="31" t="s">
        <v>95</v>
      </c>
      <c r="L21" s="31" t="s">
        <v>96</v>
      </c>
      <c r="M21" s="31" t="s">
        <v>97</v>
      </c>
      <c r="N21" s="31" t="s">
        <v>98</v>
      </c>
      <c r="O21" s="31" t="s">
        <v>99</v>
      </c>
      <c r="P21" s="31" t="s">
        <v>100</v>
      </c>
      <c r="Q21" s="31" t="s">
        <v>101</v>
      </c>
      <c r="R21" s="31" t="s">
        <v>102</v>
      </c>
      <c r="S21" s="31" t="s">
        <v>103</v>
      </c>
      <c r="T21" s="31" t="s">
        <v>104</v>
      </c>
      <c r="U21" s="31" t="s">
        <v>105</v>
      </c>
      <c r="V21" s="31" t="s">
        <v>106</v>
      </c>
      <c r="W21" s="31" t="s">
        <v>107</v>
      </c>
      <c r="X21" s="31" t="s">
        <v>108</v>
      </c>
      <c r="Y21" s="31" t="s">
        <v>109</v>
      </c>
      <c r="Z21" s="31" t="s">
        <v>110</v>
      </c>
      <c r="AA21" s="31" t="s">
        <v>111</v>
      </c>
      <c r="AB21" s="32" t="s">
        <v>112</v>
      </c>
    </row>
    <row r="22" spans="2:28" x14ac:dyDescent="0.25">
      <c r="B22" s="7" t="s">
        <v>113</v>
      </c>
      <c r="C22" s="7">
        <v>0</v>
      </c>
      <c r="D22" s="33">
        <f t="shared" ref="D22:AA22" si="0">ROUND($D$10*$D$9,0)</f>
        <v>299</v>
      </c>
      <c r="E22" s="33">
        <f t="shared" si="0"/>
        <v>299</v>
      </c>
      <c r="F22" s="33">
        <f t="shared" si="0"/>
        <v>299</v>
      </c>
      <c r="G22" s="33">
        <f t="shared" si="0"/>
        <v>299</v>
      </c>
      <c r="H22" s="33">
        <f t="shared" si="0"/>
        <v>299</v>
      </c>
      <c r="I22" s="33">
        <f t="shared" si="0"/>
        <v>299</v>
      </c>
      <c r="J22" s="33">
        <f t="shared" si="0"/>
        <v>299</v>
      </c>
      <c r="K22" s="33">
        <f t="shared" si="0"/>
        <v>299</v>
      </c>
      <c r="L22" s="33">
        <f t="shared" si="0"/>
        <v>299</v>
      </c>
      <c r="M22" s="33">
        <f t="shared" si="0"/>
        <v>299</v>
      </c>
      <c r="N22" s="33">
        <f t="shared" si="0"/>
        <v>299</v>
      </c>
      <c r="O22" s="33">
        <f t="shared" si="0"/>
        <v>299</v>
      </c>
      <c r="P22" s="33">
        <f t="shared" si="0"/>
        <v>299</v>
      </c>
      <c r="Q22" s="33">
        <f t="shared" si="0"/>
        <v>299</v>
      </c>
      <c r="R22" s="33">
        <f t="shared" si="0"/>
        <v>299</v>
      </c>
      <c r="S22" s="33">
        <f t="shared" si="0"/>
        <v>299</v>
      </c>
      <c r="T22" s="33">
        <f t="shared" si="0"/>
        <v>299</v>
      </c>
      <c r="U22" s="33">
        <f t="shared" si="0"/>
        <v>299</v>
      </c>
      <c r="V22" s="33">
        <f t="shared" si="0"/>
        <v>299</v>
      </c>
      <c r="W22" s="33">
        <f t="shared" si="0"/>
        <v>299</v>
      </c>
      <c r="X22" s="33">
        <f t="shared" si="0"/>
        <v>299</v>
      </c>
      <c r="Y22" s="33">
        <f t="shared" si="0"/>
        <v>299</v>
      </c>
      <c r="Z22" s="33">
        <f t="shared" si="0"/>
        <v>299</v>
      </c>
      <c r="AA22" s="33">
        <f t="shared" si="0"/>
        <v>299</v>
      </c>
      <c r="AB22" s="34">
        <f>SUM(D22:AA22)</f>
        <v>7176</v>
      </c>
    </row>
    <row r="23" spans="2:28" x14ac:dyDescent="0.25">
      <c r="B23" s="7" t="s">
        <v>114</v>
      </c>
      <c r="C23" s="7">
        <v>0</v>
      </c>
      <c r="D23" s="33">
        <f>D22</f>
        <v>299</v>
      </c>
      <c r="E23" s="33">
        <f t="shared" ref="E23:AA23" si="1">D23*(1-$D$12)+E22</f>
        <v>574.07999999999993</v>
      </c>
      <c r="F23" s="33">
        <f t="shared" si="1"/>
        <v>827.15359999999998</v>
      </c>
      <c r="G23" s="33">
        <f t="shared" si="1"/>
        <v>1059.9813119999999</v>
      </c>
      <c r="H23" s="33">
        <f t="shared" si="1"/>
        <v>1274.1828070399999</v>
      </c>
      <c r="I23" s="33">
        <f t="shared" si="1"/>
        <v>1471.2481824767999</v>
      </c>
      <c r="J23" s="33">
        <f t="shared" si="1"/>
        <v>1652.548327878656</v>
      </c>
      <c r="K23" s="33">
        <f t="shared" si="1"/>
        <v>1819.3444616483637</v>
      </c>
      <c r="L23" s="33">
        <f t="shared" si="1"/>
        <v>1972.7969047164947</v>
      </c>
      <c r="M23" s="33">
        <f t="shared" si="1"/>
        <v>2113.9731523391752</v>
      </c>
      <c r="N23" s="33">
        <f t="shared" si="1"/>
        <v>2243.8553001520413</v>
      </c>
      <c r="O23" s="33">
        <f t="shared" si="1"/>
        <v>2363.3468761398781</v>
      </c>
      <c r="P23" s="33">
        <f t="shared" si="1"/>
        <v>2473.2791260486879</v>
      </c>
      <c r="Q23" s="33">
        <f t="shared" si="1"/>
        <v>2574.416795964793</v>
      </c>
      <c r="R23" s="33">
        <f t="shared" si="1"/>
        <v>2667.4634522876095</v>
      </c>
      <c r="S23" s="33">
        <f t="shared" si="1"/>
        <v>2753.0663761046007</v>
      </c>
      <c r="T23" s="33">
        <f t="shared" si="1"/>
        <v>2831.8210660162326</v>
      </c>
      <c r="U23" s="33">
        <f t="shared" si="1"/>
        <v>2904.2753807349341</v>
      </c>
      <c r="V23" s="33">
        <f t="shared" si="1"/>
        <v>2970.9333502761397</v>
      </c>
      <c r="W23" s="33">
        <f t="shared" si="1"/>
        <v>3032.2586822540488</v>
      </c>
      <c r="X23" s="33">
        <f t="shared" si="1"/>
        <v>3088.6779876737251</v>
      </c>
      <c r="Y23" s="33">
        <f t="shared" si="1"/>
        <v>3140.5837486598271</v>
      </c>
      <c r="Z23" s="33">
        <f t="shared" si="1"/>
        <v>3188.3370487670409</v>
      </c>
      <c r="AA23" s="33">
        <f t="shared" si="1"/>
        <v>3232.2700848656777</v>
      </c>
    </row>
    <row r="25" spans="2:28" x14ac:dyDescent="0.25">
      <c r="B25" s="35" t="s">
        <v>115</v>
      </c>
      <c r="C25" s="35"/>
      <c r="D25" s="36">
        <f t="shared" ref="D25:AA25" si="2">D23*$D$8</f>
        <v>239200000</v>
      </c>
      <c r="E25" s="36">
        <f t="shared" si="2"/>
        <v>459263999.99999994</v>
      </c>
      <c r="F25" s="36">
        <f t="shared" si="2"/>
        <v>661722880</v>
      </c>
      <c r="G25" s="36">
        <f t="shared" si="2"/>
        <v>847985049.5999999</v>
      </c>
      <c r="H25" s="36">
        <f t="shared" si="2"/>
        <v>1019346245.632</v>
      </c>
      <c r="I25" s="36">
        <f t="shared" si="2"/>
        <v>1176998545.9814398</v>
      </c>
      <c r="J25" s="36">
        <f t="shared" si="2"/>
        <v>1322038662.3029249</v>
      </c>
      <c r="K25" s="36">
        <f t="shared" si="2"/>
        <v>1455475569.318691</v>
      </c>
      <c r="L25" s="36">
        <f t="shared" si="2"/>
        <v>1578237523.7731957</v>
      </c>
      <c r="M25" s="36">
        <f t="shared" si="2"/>
        <v>1691178521.87134</v>
      </c>
      <c r="N25" s="36">
        <f t="shared" si="2"/>
        <v>1795084240.1216331</v>
      </c>
      <c r="O25" s="36">
        <f t="shared" si="2"/>
        <v>1890677500.9119024</v>
      </c>
      <c r="P25" s="36">
        <f t="shared" si="2"/>
        <v>1978623300.8389504</v>
      </c>
      <c r="Q25" s="36">
        <f t="shared" si="2"/>
        <v>2059533436.7718344</v>
      </c>
      <c r="R25" s="36">
        <f t="shared" si="2"/>
        <v>2133970761.8300877</v>
      </c>
      <c r="S25" s="36">
        <f t="shared" si="2"/>
        <v>2202453100.8836808</v>
      </c>
      <c r="T25" s="36">
        <f t="shared" si="2"/>
        <v>2265456852.8129859</v>
      </c>
      <c r="U25" s="36">
        <f t="shared" si="2"/>
        <v>2323420304.5879474</v>
      </c>
      <c r="V25" s="36">
        <f t="shared" si="2"/>
        <v>2376746680.2209115</v>
      </c>
      <c r="W25" s="36">
        <f t="shared" si="2"/>
        <v>2425806945.8032389</v>
      </c>
      <c r="X25" s="36">
        <f t="shared" si="2"/>
        <v>2470942390.1389799</v>
      </c>
      <c r="Y25" s="36">
        <f t="shared" si="2"/>
        <v>2512466998.9278617</v>
      </c>
      <c r="Z25" s="36">
        <f t="shared" si="2"/>
        <v>2550669639.0136328</v>
      </c>
      <c r="AA25" s="36">
        <f t="shared" si="2"/>
        <v>2585816067.8925424</v>
      </c>
      <c r="AB25" s="37">
        <f t="shared" ref="AB25:AB30" si="3">SUM(D25:AA25)</f>
        <v>42023115219.235786</v>
      </c>
    </row>
    <row r="26" spans="2:28" x14ac:dyDescent="0.25">
      <c r="B26" s="7" t="s">
        <v>116</v>
      </c>
      <c r="C26" s="7"/>
      <c r="D26" s="33">
        <f t="shared" ref="D26:AA26" si="4">D23*$D$11</f>
        <v>900000</v>
      </c>
      <c r="E26" s="33">
        <f t="shared" si="4"/>
        <v>1727999.9999999998</v>
      </c>
      <c r="F26" s="33">
        <f t="shared" si="4"/>
        <v>2489760</v>
      </c>
      <c r="G26" s="33">
        <f t="shared" si="4"/>
        <v>3190579.1999999997</v>
      </c>
      <c r="H26" s="33">
        <f t="shared" si="4"/>
        <v>3835332.8639999996</v>
      </c>
      <c r="I26" s="33">
        <f t="shared" si="4"/>
        <v>4428506.2348799994</v>
      </c>
      <c r="J26" s="33">
        <f t="shared" si="4"/>
        <v>4974225.7360895993</v>
      </c>
      <c r="K26" s="33">
        <f t="shared" si="4"/>
        <v>5476287.6772024324</v>
      </c>
      <c r="L26" s="33">
        <f t="shared" si="4"/>
        <v>5938184.6630262379</v>
      </c>
      <c r="M26" s="33">
        <f t="shared" si="4"/>
        <v>6363129.8899841392</v>
      </c>
      <c r="N26" s="33">
        <f t="shared" si="4"/>
        <v>6754079.4987854082</v>
      </c>
      <c r="O26" s="33">
        <f t="shared" si="4"/>
        <v>7113753.1388825756</v>
      </c>
      <c r="P26" s="33">
        <f t="shared" si="4"/>
        <v>7444652.8877719697</v>
      </c>
      <c r="Q26" s="33">
        <f t="shared" si="4"/>
        <v>7749080.6567502124</v>
      </c>
      <c r="R26" s="33">
        <f t="shared" si="4"/>
        <v>8029154.2042101957</v>
      </c>
      <c r="S26" s="33">
        <f t="shared" si="4"/>
        <v>8286821.86787338</v>
      </c>
      <c r="T26" s="33">
        <f t="shared" si="4"/>
        <v>8523876.1184435096</v>
      </c>
      <c r="U26" s="33">
        <f t="shared" si="4"/>
        <v>8741966.0289680287</v>
      </c>
      <c r="V26" s="33">
        <f t="shared" si="4"/>
        <v>8942608.7466505878</v>
      </c>
      <c r="W26" s="33">
        <f t="shared" si="4"/>
        <v>9127200.0469185412</v>
      </c>
      <c r="X26" s="33">
        <f t="shared" si="4"/>
        <v>9297024.0431650579</v>
      </c>
      <c r="Y26" s="33">
        <f t="shared" si="4"/>
        <v>9453262.1197118536</v>
      </c>
      <c r="Z26" s="33">
        <f t="shared" si="4"/>
        <v>9597001.1501349043</v>
      </c>
      <c r="AA26" s="33">
        <f t="shared" si="4"/>
        <v>9729241.0581241138</v>
      </c>
      <c r="AB26" s="34">
        <f t="shared" si="3"/>
        <v>158113727.83157274</v>
      </c>
    </row>
    <row r="27" spans="2:28" x14ac:dyDescent="0.25">
      <c r="B27" s="6" t="s">
        <v>117</v>
      </c>
      <c r="C27" s="6"/>
      <c r="D27" s="38">
        <f t="shared" ref="D27:AA27" si="5">D25-D26</f>
        <v>238300000</v>
      </c>
      <c r="E27" s="38">
        <f t="shared" si="5"/>
        <v>457535999.99999994</v>
      </c>
      <c r="F27" s="38">
        <f t="shared" si="5"/>
        <v>659233120</v>
      </c>
      <c r="G27" s="38">
        <f t="shared" si="5"/>
        <v>844794470.39999986</v>
      </c>
      <c r="H27" s="38">
        <f t="shared" si="5"/>
        <v>1015510912.768</v>
      </c>
      <c r="I27" s="38">
        <f t="shared" si="5"/>
        <v>1172570039.7465599</v>
      </c>
      <c r="J27" s="38">
        <f t="shared" si="5"/>
        <v>1317064436.5668352</v>
      </c>
      <c r="K27" s="38">
        <f t="shared" si="5"/>
        <v>1449999281.6414886</v>
      </c>
      <c r="L27" s="38">
        <f t="shared" si="5"/>
        <v>1572299339.1101694</v>
      </c>
      <c r="M27" s="38">
        <f t="shared" si="5"/>
        <v>1684815391.9813559</v>
      </c>
      <c r="N27" s="38">
        <f t="shared" si="5"/>
        <v>1788330160.6228476</v>
      </c>
      <c r="O27" s="38">
        <f t="shared" si="5"/>
        <v>1883563747.7730198</v>
      </c>
      <c r="P27" s="38">
        <f t="shared" si="5"/>
        <v>1971178647.9511783</v>
      </c>
      <c r="Q27" s="38">
        <f t="shared" si="5"/>
        <v>2051784356.1150842</v>
      </c>
      <c r="R27" s="38">
        <f t="shared" si="5"/>
        <v>2125941607.6258774</v>
      </c>
      <c r="S27" s="38">
        <f t="shared" si="5"/>
        <v>2194166279.0158076</v>
      </c>
      <c r="T27" s="38">
        <f t="shared" si="5"/>
        <v>2256932976.6945424</v>
      </c>
      <c r="U27" s="38">
        <f t="shared" si="5"/>
        <v>2314678338.5589795</v>
      </c>
      <c r="V27" s="38">
        <f t="shared" si="5"/>
        <v>2367804071.4742608</v>
      </c>
      <c r="W27" s="38">
        <f t="shared" si="5"/>
        <v>2416679745.7563205</v>
      </c>
      <c r="X27" s="38">
        <f t="shared" si="5"/>
        <v>2461645366.0958147</v>
      </c>
      <c r="Y27" s="38">
        <f t="shared" si="5"/>
        <v>2503013736.8081498</v>
      </c>
      <c r="Z27" s="38">
        <f t="shared" si="5"/>
        <v>2541072637.8634977</v>
      </c>
      <c r="AA27" s="38">
        <f t="shared" si="5"/>
        <v>2576086826.8344183</v>
      </c>
      <c r="AB27" s="34">
        <f t="shared" si="3"/>
        <v>41865001491.404205</v>
      </c>
    </row>
    <row r="28" spans="2:28" x14ac:dyDescent="0.25">
      <c r="B28" s="7" t="s">
        <v>118</v>
      </c>
      <c r="C28" s="7"/>
      <c r="D28" s="33">
        <f t="shared" ref="D28:AA28" si="6">D22*$D$13</f>
        <v>1196000</v>
      </c>
      <c r="E28" s="33">
        <f t="shared" si="6"/>
        <v>1196000</v>
      </c>
      <c r="F28" s="33">
        <f t="shared" si="6"/>
        <v>1196000</v>
      </c>
      <c r="G28" s="33">
        <f t="shared" si="6"/>
        <v>1196000</v>
      </c>
      <c r="H28" s="33">
        <f t="shared" si="6"/>
        <v>1196000</v>
      </c>
      <c r="I28" s="33">
        <f t="shared" si="6"/>
        <v>1196000</v>
      </c>
      <c r="J28" s="33">
        <f t="shared" si="6"/>
        <v>1196000</v>
      </c>
      <c r="K28" s="33">
        <f t="shared" si="6"/>
        <v>1196000</v>
      </c>
      <c r="L28" s="33">
        <f t="shared" si="6"/>
        <v>1196000</v>
      </c>
      <c r="M28" s="33">
        <f t="shared" si="6"/>
        <v>1196000</v>
      </c>
      <c r="N28" s="33">
        <f t="shared" si="6"/>
        <v>1196000</v>
      </c>
      <c r="O28" s="33">
        <f t="shared" si="6"/>
        <v>1196000</v>
      </c>
      <c r="P28" s="33">
        <f t="shared" si="6"/>
        <v>1196000</v>
      </c>
      <c r="Q28" s="33">
        <f t="shared" si="6"/>
        <v>1196000</v>
      </c>
      <c r="R28" s="33">
        <f t="shared" si="6"/>
        <v>1196000</v>
      </c>
      <c r="S28" s="33">
        <f t="shared" si="6"/>
        <v>1196000</v>
      </c>
      <c r="T28" s="33">
        <f t="shared" si="6"/>
        <v>1196000</v>
      </c>
      <c r="U28" s="33">
        <f t="shared" si="6"/>
        <v>1196000</v>
      </c>
      <c r="V28" s="33">
        <f t="shared" si="6"/>
        <v>1196000</v>
      </c>
      <c r="W28" s="33">
        <f t="shared" si="6"/>
        <v>1196000</v>
      </c>
      <c r="X28" s="33">
        <f t="shared" si="6"/>
        <v>1196000</v>
      </c>
      <c r="Y28" s="33">
        <f t="shared" si="6"/>
        <v>1196000</v>
      </c>
      <c r="Z28" s="33">
        <f t="shared" si="6"/>
        <v>1196000</v>
      </c>
      <c r="AA28" s="33">
        <f t="shared" si="6"/>
        <v>1196000</v>
      </c>
      <c r="AB28" s="34">
        <f t="shared" si="3"/>
        <v>28704000</v>
      </c>
    </row>
    <row r="29" spans="2:28" x14ac:dyDescent="0.25">
      <c r="B29" s="7" t="s">
        <v>119</v>
      </c>
      <c r="C29" s="7"/>
      <c r="D29" s="33">
        <f t="shared" ref="D29:AA29" si="7">$D$14</f>
        <v>32100000</v>
      </c>
      <c r="E29" s="33">
        <f t="shared" si="7"/>
        <v>32100000</v>
      </c>
      <c r="F29" s="33">
        <f t="shared" si="7"/>
        <v>32100000</v>
      </c>
      <c r="G29" s="33">
        <f t="shared" si="7"/>
        <v>32100000</v>
      </c>
      <c r="H29" s="33">
        <f t="shared" si="7"/>
        <v>32100000</v>
      </c>
      <c r="I29" s="33">
        <f t="shared" si="7"/>
        <v>32100000</v>
      </c>
      <c r="J29" s="33">
        <f t="shared" si="7"/>
        <v>32100000</v>
      </c>
      <c r="K29" s="33">
        <f t="shared" si="7"/>
        <v>32100000</v>
      </c>
      <c r="L29" s="33">
        <f t="shared" si="7"/>
        <v>32100000</v>
      </c>
      <c r="M29" s="33">
        <f t="shared" si="7"/>
        <v>32100000</v>
      </c>
      <c r="N29" s="33">
        <f t="shared" si="7"/>
        <v>32100000</v>
      </c>
      <c r="O29" s="33">
        <f t="shared" si="7"/>
        <v>32100000</v>
      </c>
      <c r="P29" s="33">
        <f t="shared" si="7"/>
        <v>32100000</v>
      </c>
      <c r="Q29" s="33">
        <f t="shared" si="7"/>
        <v>32100000</v>
      </c>
      <c r="R29" s="33">
        <f t="shared" si="7"/>
        <v>32100000</v>
      </c>
      <c r="S29" s="33">
        <f t="shared" si="7"/>
        <v>32100000</v>
      </c>
      <c r="T29" s="33">
        <f t="shared" si="7"/>
        <v>32100000</v>
      </c>
      <c r="U29" s="33">
        <f t="shared" si="7"/>
        <v>32100000</v>
      </c>
      <c r="V29" s="33">
        <f t="shared" si="7"/>
        <v>32100000</v>
      </c>
      <c r="W29" s="33">
        <f t="shared" si="7"/>
        <v>32100000</v>
      </c>
      <c r="X29" s="33">
        <f t="shared" si="7"/>
        <v>32100000</v>
      </c>
      <c r="Y29" s="33">
        <f t="shared" si="7"/>
        <v>32100000</v>
      </c>
      <c r="Z29" s="33">
        <f t="shared" si="7"/>
        <v>32100000</v>
      </c>
      <c r="AA29" s="33">
        <f t="shared" si="7"/>
        <v>32100000</v>
      </c>
      <c r="AB29" s="34">
        <f t="shared" si="3"/>
        <v>770400000</v>
      </c>
    </row>
    <row r="30" spans="2:28" x14ac:dyDescent="0.25">
      <c r="B30" s="14" t="s">
        <v>120</v>
      </c>
      <c r="C30" s="14"/>
      <c r="D30" s="39">
        <f t="shared" ref="D30:AA30" si="8">D27-D28-D29</f>
        <v>205004000</v>
      </c>
      <c r="E30" s="39">
        <f t="shared" si="8"/>
        <v>424239999.99999994</v>
      </c>
      <c r="F30" s="39">
        <f t="shared" si="8"/>
        <v>625937120</v>
      </c>
      <c r="G30" s="39">
        <f t="shared" si="8"/>
        <v>811498470.39999986</v>
      </c>
      <c r="H30" s="39">
        <f t="shared" si="8"/>
        <v>982214912.76800001</v>
      </c>
      <c r="I30" s="39">
        <f t="shared" si="8"/>
        <v>1139274039.7465599</v>
      </c>
      <c r="J30" s="39">
        <f t="shared" si="8"/>
        <v>1283768436.5668352</v>
      </c>
      <c r="K30" s="39">
        <f t="shared" si="8"/>
        <v>1416703281.6414886</v>
      </c>
      <c r="L30" s="39">
        <f t="shared" si="8"/>
        <v>1539003339.1101694</v>
      </c>
      <c r="M30" s="39">
        <f t="shared" si="8"/>
        <v>1651519391.9813559</v>
      </c>
      <c r="N30" s="39">
        <f t="shared" si="8"/>
        <v>1755034160.6228476</v>
      </c>
      <c r="O30" s="39">
        <f t="shared" si="8"/>
        <v>1850267747.7730198</v>
      </c>
      <c r="P30" s="39">
        <f t="shared" si="8"/>
        <v>1937882647.9511783</v>
      </c>
      <c r="Q30" s="39">
        <f t="shared" si="8"/>
        <v>2018488356.1150842</v>
      </c>
      <c r="R30" s="39">
        <f t="shared" si="8"/>
        <v>2092645607.6258774</v>
      </c>
      <c r="S30" s="39">
        <f t="shared" si="8"/>
        <v>2160870279.0158076</v>
      </c>
      <c r="T30" s="39">
        <f t="shared" si="8"/>
        <v>2223636976.6945424</v>
      </c>
      <c r="U30" s="39">
        <f t="shared" si="8"/>
        <v>2281382338.5589795</v>
      </c>
      <c r="V30" s="39">
        <f t="shared" si="8"/>
        <v>2334508071.4742608</v>
      </c>
      <c r="W30" s="39">
        <f t="shared" si="8"/>
        <v>2383383745.7563205</v>
      </c>
      <c r="X30" s="39">
        <f t="shared" si="8"/>
        <v>2428349366.0958147</v>
      </c>
      <c r="Y30" s="39">
        <f t="shared" si="8"/>
        <v>2469717736.8081498</v>
      </c>
      <c r="Z30" s="39">
        <f t="shared" si="8"/>
        <v>2507776637.8634977</v>
      </c>
      <c r="AA30" s="39">
        <f t="shared" si="8"/>
        <v>2542790826.8344183</v>
      </c>
      <c r="AB30" s="40">
        <f t="shared" si="3"/>
        <v>41065897491.404205</v>
      </c>
    </row>
    <row r="32" spans="2:28" x14ac:dyDescent="0.25">
      <c r="B32" s="7" t="s">
        <v>121</v>
      </c>
      <c r="C32" s="33">
        <v>-2000000</v>
      </c>
      <c r="D32" s="33">
        <f>D30-$D$15</f>
        <v>185004000</v>
      </c>
      <c r="E32" s="33">
        <f t="shared" ref="E32:AA32" si="9">E30</f>
        <v>424239999.99999994</v>
      </c>
      <c r="F32" s="33">
        <f t="shared" si="9"/>
        <v>625937120</v>
      </c>
      <c r="G32" s="33">
        <f t="shared" si="9"/>
        <v>811498470.39999986</v>
      </c>
      <c r="H32" s="33">
        <f t="shared" si="9"/>
        <v>982214912.76800001</v>
      </c>
      <c r="I32" s="33">
        <f t="shared" si="9"/>
        <v>1139274039.7465599</v>
      </c>
      <c r="J32" s="33">
        <f t="shared" si="9"/>
        <v>1283768436.5668352</v>
      </c>
      <c r="K32" s="33">
        <f t="shared" si="9"/>
        <v>1416703281.6414886</v>
      </c>
      <c r="L32" s="33">
        <f t="shared" si="9"/>
        <v>1539003339.1101694</v>
      </c>
      <c r="M32" s="33">
        <f t="shared" si="9"/>
        <v>1651519391.9813559</v>
      </c>
      <c r="N32" s="33">
        <f t="shared" si="9"/>
        <v>1755034160.6228476</v>
      </c>
      <c r="O32" s="33">
        <f t="shared" si="9"/>
        <v>1850267747.7730198</v>
      </c>
      <c r="P32" s="33">
        <f t="shared" si="9"/>
        <v>1937882647.9511783</v>
      </c>
      <c r="Q32" s="33">
        <f t="shared" si="9"/>
        <v>2018488356.1150842</v>
      </c>
      <c r="R32" s="33">
        <f t="shared" si="9"/>
        <v>2092645607.6258774</v>
      </c>
      <c r="S32" s="33">
        <f t="shared" si="9"/>
        <v>2160870279.0158076</v>
      </c>
      <c r="T32" s="33">
        <f t="shared" si="9"/>
        <v>2223636976.6945424</v>
      </c>
      <c r="U32" s="33">
        <f t="shared" si="9"/>
        <v>2281382338.5589795</v>
      </c>
      <c r="V32" s="33">
        <f t="shared" si="9"/>
        <v>2334508071.4742608</v>
      </c>
      <c r="W32" s="33">
        <f t="shared" si="9"/>
        <v>2383383745.7563205</v>
      </c>
      <c r="X32" s="33">
        <f t="shared" si="9"/>
        <v>2428349366.0958147</v>
      </c>
      <c r="Y32" s="33">
        <f t="shared" si="9"/>
        <v>2469717736.8081498</v>
      </c>
      <c r="Z32" s="33">
        <f t="shared" si="9"/>
        <v>2507776637.8634977</v>
      </c>
      <c r="AA32" s="33">
        <f t="shared" si="9"/>
        <v>2542790826.8344183</v>
      </c>
      <c r="AB32" s="34">
        <f>SUM(D32:AA32)</f>
        <v>41045897491.404205</v>
      </c>
    </row>
    <row r="33" spans="2:27" x14ac:dyDescent="0.25">
      <c r="B33" s="41" t="s">
        <v>122</v>
      </c>
      <c r="C33" s="41"/>
      <c r="D33" s="42">
        <f>$D$16+D32</f>
        <v>285004000</v>
      </c>
      <c r="E33" s="42">
        <f t="shared" ref="E33:AA33" si="10">D33+E32</f>
        <v>709244000</v>
      </c>
      <c r="F33" s="42">
        <f t="shared" si="10"/>
        <v>1335181120</v>
      </c>
      <c r="G33" s="42">
        <f t="shared" si="10"/>
        <v>2146679590.3999999</v>
      </c>
      <c r="H33" s="42">
        <f t="shared" si="10"/>
        <v>3128894503.1679997</v>
      </c>
      <c r="I33" s="42">
        <f t="shared" si="10"/>
        <v>4268168542.9145594</v>
      </c>
      <c r="J33" s="42">
        <f t="shared" si="10"/>
        <v>5551936979.4813948</v>
      </c>
      <c r="K33" s="42">
        <f t="shared" si="10"/>
        <v>6968640261.1228828</v>
      </c>
      <c r="L33" s="42">
        <f t="shared" si="10"/>
        <v>8507643600.2330523</v>
      </c>
      <c r="M33" s="42">
        <f t="shared" si="10"/>
        <v>10159162992.214409</v>
      </c>
      <c r="N33" s="42">
        <f t="shared" si="10"/>
        <v>11914197152.837257</v>
      </c>
      <c r="O33" s="42">
        <f t="shared" si="10"/>
        <v>13764464900.610277</v>
      </c>
      <c r="P33" s="42">
        <f t="shared" si="10"/>
        <v>15702347548.561455</v>
      </c>
      <c r="Q33" s="42">
        <f t="shared" si="10"/>
        <v>17720835904.67654</v>
      </c>
      <c r="R33" s="42">
        <f t="shared" si="10"/>
        <v>19813481512.302418</v>
      </c>
      <c r="S33" s="42">
        <f t="shared" si="10"/>
        <v>21974351791.318226</v>
      </c>
      <c r="T33" s="42">
        <f t="shared" si="10"/>
        <v>24197988768.012768</v>
      </c>
      <c r="U33" s="42">
        <f t="shared" si="10"/>
        <v>26479371106.571747</v>
      </c>
      <c r="V33" s="42">
        <f t="shared" si="10"/>
        <v>28813879178.046009</v>
      </c>
      <c r="W33" s="42">
        <f t="shared" si="10"/>
        <v>31197262923.80233</v>
      </c>
      <c r="X33" s="42">
        <f t="shared" si="10"/>
        <v>33625612289.898144</v>
      </c>
      <c r="Y33" s="42">
        <f t="shared" si="10"/>
        <v>36095330026.706291</v>
      </c>
      <c r="Z33" s="42">
        <f t="shared" si="10"/>
        <v>38603106664.569786</v>
      </c>
      <c r="AA33" s="42">
        <f t="shared" si="10"/>
        <v>41145897491.404205</v>
      </c>
    </row>
    <row r="36" spans="2:27" x14ac:dyDescent="0.25">
      <c r="B36" s="61" t="s">
        <v>123</v>
      </c>
      <c r="C36" s="61"/>
      <c r="D36" s="61"/>
      <c r="E36" s="61"/>
      <c r="F36" s="61"/>
      <c r="G36" s="61"/>
      <c r="H36" s="61"/>
      <c r="I36" s="61"/>
      <c r="J36" s="61"/>
      <c r="K36" s="61"/>
    </row>
    <row r="37" spans="2:27" x14ac:dyDescent="0.25">
      <c r="B37" s="6" t="s">
        <v>124</v>
      </c>
      <c r="C37" s="6"/>
      <c r="D37" s="43">
        <f>(NPV($D$17,E32:AA32)+D32)/1000000</f>
        <v>33214.256641969274</v>
      </c>
      <c r="E37" s="25" t="str">
        <f>"(target: &gt; 0)"</f>
        <v>(target: &gt; 0)</v>
      </c>
    </row>
    <row r="38" spans="2:27" x14ac:dyDescent="0.25">
      <c r="B38" s="6" t="s">
        <v>125</v>
      </c>
      <c r="C38" s="6"/>
      <c r="D38" s="44">
        <f>IFERROR((1+IRR(C32:AA32))^12-1,0)</f>
        <v>5.2523138565771687E+23</v>
      </c>
      <c r="E38" s="25" t="str">
        <f>"(target: &gt; "&amp;TEXT(CHOOSE($D$6,'1. Assumptions'!C37,'1. Assumptions'!D37,'1. Assumptions'!E37),"0.0%")&amp;")"</f>
        <v>(target: &gt; 20.0%)</v>
      </c>
    </row>
    <row r="39" spans="2:27" x14ac:dyDescent="0.25">
      <c r="B39" s="6" t="s">
        <v>126</v>
      </c>
      <c r="C39" s="6"/>
      <c r="D39" s="45">
        <f>IFERROR(MATCH(TRUE(),INDEX(D41:AA41&gt;=0,0),0),"&gt; 24")</f>
        <v>1</v>
      </c>
      <c r="E39" s="25" t="str">
        <f>"(target: &lt; 24)"</f>
        <v>(target: &lt; 24)</v>
      </c>
    </row>
    <row r="40" spans="2:27" x14ac:dyDescent="0.25">
      <c r="B40" s="6" t="s">
        <v>127</v>
      </c>
      <c r="C40" s="6"/>
      <c r="D40" s="45" t="str">
        <f>IFERROR(MATCH(TRUE(),INDEX(D33:AA33&lt;0,0),0)-1,"&gt;= 24")</f>
        <v>&gt;= 24</v>
      </c>
      <c r="E40" s="25" t="str">
        <f>"(target: &gt;= 12)"</f>
        <v>(target: &gt;= 12)</v>
      </c>
    </row>
    <row r="41" spans="2:27" x14ac:dyDescent="0.25">
      <c r="B41" s="46" t="s">
        <v>128</v>
      </c>
      <c r="C41" s="46"/>
      <c r="D41" s="47">
        <f>D32</f>
        <v>185004000</v>
      </c>
      <c r="E41" s="47">
        <f t="shared" ref="E41:AA41" si="11">D41+E32</f>
        <v>609244000</v>
      </c>
      <c r="F41" s="47">
        <f t="shared" si="11"/>
        <v>1235181120</v>
      </c>
      <c r="G41" s="47">
        <f t="shared" si="11"/>
        <v>2046679590.3999999</v>
      </c>
      <c r="H41" s="47">
        <f t="shared" si="11"/>
        <v>3028894503.1679997</v>
      </c>
      <c r="I41" s="47">
        <f t="shared" si="11"/>
        <v>4168168542.9145594</v>
      </c>
      <c r="J41" s="47">
        <f t="shared" si="11"/>
        <v>5451936979.4813948</v>
      </c>
      <c r="K41" s="47">
        <f t="shared" si="11"/>
        <v>6868640261.1228828</v>
      </c>
      <c r="L41" s="47">
        <f t="shared" si="11"/>
        <v>8407643600.2330523</v>
      </c>
      <c r="M41" s="47">
        <f t="shared" si="11"/>
        <v>10059162992.214409</v>
      </c>
      <c r="N41" s="47">
        <f t="shared" si="11"/>
        <v>11814197152.837257</v>
      </c>
      <c r="O41" s="47">
        <f t="shared" si="11"/>
        <v>13664464900.610277</v>
      </c>
      <c r="P41" s="47">
        <f t="shared" si="11"/>
        <v>15602347548.561455</v>
      </c>
      <c r="Q41" s="47">
        <f t="shared" si="11"/>
        <v>17620835904.67654</v>
      </c>
      <c r="R41" s="47">
        <f t="shared" si="11"/>
        <v>19713481512.302418</v>
      </c>
      <c r="S41" s="47">
        <f t="shared" si="11"/>
        <v>21874351791.318226</v>
      </c>
      <c r="T41" s="47">
        <f t="shared" si="11"/>
        <v>24097988768.012768</v>
      </c>
      <c r="U41" s="47">
        <f t="shared" si="11"/>
        <v>26379371106.571747</v>
      </c>
      <c r="V41" s="47">
        <f t="shared" si="11"/>
        <v>28713879178.046009</v>
      </c>
      <c r="W41" s="47">
        <f t="shared" si="11"/>
        <v>31097262923.80233</v>
      </c>
      <c r="X41" s="47">
        <f t="shared" si="11"/>
        <v>33525612289.898144</v>
      </c>
      <c r="Y41" s="47">
        <f t="shared" si="11"/>
        <v>35995330026.706291</v>
      </c>
      <c r="Z41" s="47">
        <f t="shared" si="11"/>
        <v>38503106664.569786</v>
      </c>
      <c r="AA41" s="47">
        <f t="shared" si="11"/>
        <v>41045897491.404205</v>
      </c>
    </row>
    <row r="43" spans="2:27" x14ac:dyDescent="0.25">
      <c r="B43" s="61" t="s">
        <v>129</v>
      </c>
      <c r="C43" s="61"/>
      <c r="D43" s="61"/>
      <c r="E43" s="61"/>
      <c r="F43" s="61"/>
      <c r="G43" s="61"/>
      <c r="H43" s="61"/>
      <c r="I43" s="61"/>
      <c r="J43" s="61"/>
      <c r="K43" s="61"/>
    </row>
    <row r="44" spans="2:27" ht="15.75" x14ac:dyDescent="0.25">
      <c r="B44" s="6" t="s">
        <v>130</v>
      </c>
      <c r="C44" s="6"/>
      <c r="D44" s="64" t="str">
        <f>IF(AND(D37&gt;0,D38&gt;CHOOSE($D$6,'1. Assumptions'!C37,'1. Assumptions'!D37,'1. Assumptions'!E37)),"✓ GO — NPV+ và IRR &gt; WACC",IF(D37&lt;0,"✗ NO-GO — NPV âm: dự án không tạo giá trị","⚠ HOLD — IRR thấp hơn kỳ vọng, cần điều chỉnh"))</f>
        <v>✓ GO — NPV+ và IRR &gt; WACC</v>
      </c>
      <c r="E44" s="64"/>
      <c r="F44" s="64"/>
      <c r="G44" s="64"/>
      <c r="H44" s="64"/>
      <c r="I44" s="64"/>
      <c r="J44" s="64"/>
      <c r="K44" s="64"/>
    </row>
  </sheetData>
  <mergeCells count="6">
    <mergeCell ref="D44:K44"/>
    <mergeCell ref="B2:I2"/>
    <mergeCell ref="E4:I4"/>
    <mergeCell ref="B20:AB20"/>
    <mergeCell ref="B36:K36"/>
    <mergeCell ref="B43:K43"/>
  </mergeCells>
  <conditionalFormatting sqref="D33">
    <cfRule type="cellIs" dxfId="28" priority="2" operator="lessThan">
      <formula>0</formula>
    </cfRule>
  </conditionalFormatting>
  <conditionalFormatting sqref="E33">
    <cfRule type="cellIs" dxfId="27" priority="3" operator="lessThan">
      <formula>0</formula>
    </cfRule>
  </conditionalFormatting>
  <conditionalFormatting sqref="F33">
    <cfRule type="cellIs" dxfId="26" priority="4" operator="lessThan">
      <formula>0</formula>
    </cfRule>
  </conditionalFormatting>
  <conditionalFormatting sqref="G33">
    <cfRule type="cellIs" dxfId="25" priority="5" operator="lessThan">
      <formula>0</formula>
    </cfRule>
  </conditionalFormatting>
  <conditionalFormatting sqref="H33">
    <cfRule type="cellIs" dxfId="24" priority="6" operator="lessThan">
      <formula>0</formula>
    </cfRule>
  </conditionalFormatting>
  <conditionalFormatting sqref="I33">
    <cfRule type="cellIs" dxfId="23" priority="7" operator="lessThan">
      <formula>0</formula>
    </cfRule>
  </conditionalFormatting>
  <conditionalFormatting sqref="J33">
    <cfRule type="cellIs" dxfId="22" priority="8" operator="lessThan">
      <formula>0</formula>
    </cfRule>
  </conditionalFormatting>
  <conditionalFormatting sqref="K33">
    <cfRule type="cellIs" dxfId="21" priority="9" operator="lessThan">
      <formula>0</formula>
    </cfRule>
  </conditionalFormatting>
  <conditionalFormatting sqref="L33">
    <cfRule type="cellIs" dxfId="20" priority="10" operator="lessThan">
      <formula>0</formula>
    </cfRule>
  </conditionalFormatting>
  <conditionalFormatting sqref="M33">
    <cfRule type="cellIs" dxfId="19" priority="11" operator="lessThan">
      <formula>0</formula>
    </cfRule>
  </conditionalFormatting>
  <conditionalFormatting sqref="N33">
    <cfRule type="cellIs" dxfId="18" priority="12" operator="lessThan">
      <formula>0</formula>
    </cfRule>
  </conditionalFormatting>
  <conditionalFormatting sqref="O33">
    <cfRule type="cellIs" dxfId="17" priority="13" operator="lessThan">
      <formula>0</formula>
    </cfRule>
  </conditionalFormatting>
  <conditionalFormatting sqref="P33">
    <cfRule type="cellIs" dxfId="16" priority="14" operator="lessThan">
      <formula>0</formula>
    </cfRule>
  </conditionalFormatting>
  <conditionalFormatting sqref="Q33">
    <cfRule type="cellIs" dxfId="15" priority="15" operator="lessThan">
      <formula>0</formula>
    </cfRule>
  </conditionalFormatting>
  <conditionalFormatting sqref="R33">
    <cfRule type="cellIs" dxfId="14" priority="16" operator="lessThan">
      <formula>0</formula>
    </cfRule>
  </conditionalFormatting>
  <conditionalFormatting sqref="S33">
    <cfRule type="cellIs" dxfId="13" priority="17" operator="lessThan">
      <formula>0</formula>
    </cfRule>
  </conditionalFormatting>
  <conditionalFormatting sqref="T33">
    <cfRule type="cellIs" dxfId="12" priority="18" operator="lessThan">
      <formula>0</formula>
    </cfRule>
  </conditionalFormatting>
  <conditionalFormatting sqref="U33">
    <cfRule type="cellIs" dxfId="11" priority="19" operator="lessThan">
      <formula>0</formula>
    </cfRule>
  </conditionalFormatting>
  <conditionalFormatting sqref="V33">
    <cfRule type="cellIs" dxfId="10" priority="20" operator="lessThan">
      <formula>0</formula>
    </cfRule>
  </conditionalFormatting>
  <conditionalFormatting sqref="W33">
    <cfRule type="cellIs" dxfId="9" priority="21" operator="lessThan">
      <formula>0</formula>
    </cfRule>
  </conditionalFormatting>
  <conditionalFormatting sqref="X33">
    <cfRule type="cellIs" dxfId="8" priority="22" operator="lessThan">
      <formula>0</formula>
    </cfRule>
  </conditionalFormatting>
  <conditionalFormatting sqref="Y33">
    <cfRule type="cellIs" dxfId="7" priority="23" operator="lessThan">
      <formula>0</formula>
    </cfRule>
  </conditionalFormatting>
  <conditionalFormatting sqref="Z33">
    <cfRule type="cellIs" dxfId="6" priority="24" operator="lessThan">
      <formula>0</formula>
    </cfRule>
  </conditionalFormatting>
  <conditionalFormatting sqref="AA33">
    <cfRule type="cellIs" dxfId="5" priority="25" operator="lessThan">
      <formula>0</formula>
    </cfRule>
  </conditionalFormatting>
  <conditionalFormatting sqref="D37">
    <cfRule type="cellIs" dxfId="4" priority="26" operator="greaterThan">
      <formula>0</formula>
    </cfRule>
    <cfRule type="cellIs" dxfId="3" priority="27" operator="lessThanOrEqual">
      <formula>0</formula>
    </cfRule>
  </conditionalFormatting>
  <conditionalFormatting sqref="D40">
    <cfRule type="expression" dxfId="2" priority="30">
      <formula>AND(ISNUMBER(D40),D40&lt;12)</formula>
    </cfRule>
  </conditionalFormatting>
  <dataValidations count="1">
    <dataValidation type="list" sqref="D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D38&gt;CHOOSE($D$6,'1. Assumptions'!D37,'1. Assumptions'!E37,'1. Assumptions'!F37)</xm:f>
            <x14:dxf>
              <font>
                <b/>
                <sz val="11"/>
                <color rgb="FF16A34A"/>
                <name val="Arial"/>
                <charset val="1"/>
              </font>
              <fill>
                <patternFill>
                  <bgColor rgb="FFDCFCE7"/>
                </patternFill>
              </fill>
            </x14:dxf>
          </x14:cfRule>
          <x14:cfRule type="expression" priority="29" id="{00000000-000E-0000-0200-00001D000000}">
            <xm:f>D38&lt;=CHOOSE($D$6,'1. Assumptions'!D37,'1. Assumptions'!E37,'1. Assumptions'!F37)</xm:f>
            <x14:dxf>
              <font>
                <b/>
                <sz val="11"/>
                <color rgb="FFDC2626"/>
                <name val="Arial"/>
                <charset val="1"/>
              </font>
              <fill>
                <patternFill>
                  <bgColor rgb="FFFEE2E2"/>
                </patternFill>
              </fill>
            </x14:dxf>
          </x14:cfRule>
          <xm:sqref>D38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Anh Pham</cp:lastModifiedBy>
  <cp:revision>0</cp:revision>
  <dcterms:created xsi:type="dcterms:W3CDTF">2026-05-03T14:07:25Z</dcterms:created>
  <dcterms:modified xsi:type="dcterms:W3CDTF">2026-05-05T05:51:00Z</dcterms:modified>
  <dc:language>en-US</dc:language>
</cp:coreProperties>
</file>